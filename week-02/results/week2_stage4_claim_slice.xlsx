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im Slice" sheetId="1" state="visible" r:id="rId3"/>
    <sheet name="Find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<sst xmlns="http://schemas.openxmlformats.org/spreadsheetml/2006/main" count="44" uniqueCount="41">
  <si>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Week 2 Stage 4 — Agreement split by 'claim without evidence' tag</t>
  </si>
  <si>
    <t xml:space="preserve">Tagged = rows where my label_notes contain 'claim without evidence' (bare seller verdicts I graded under the bare-claims rule).</t>
  </si>
  <si>
    <t xml:space="preserve">Model</t>
  </si>
  <si>
    <t xml:space="preserve">Tagged rows</t>
  </si>
  <si>
    <t xml:space="preserve">Tagged: agree</t>
  </si>
  <si>
    <t xml:space="preserve">Tagged: model declined, I graded</t>
  </si>
  <si>
    <t xml:space="preserve">Untagged rows</t>
  </si>
  <si>
    <t xml:space="preserve">Untagged: agree</t>
  </si>
  <si>
    <t xml:space="preserve">Untagged: model declined, I graded</t>
  </si>
  <si>
    <t xml:space="preserve">All declines where I graded (from stage 3)</t>
  </si>
  <si>
    <t xml:space="preserve">Tagged agreement</t>
  </si>
  <si>
    <t xml:space="preserve">Untagged agreement</t>
  </si>
  <si>
    <t xml:space="preserve">Gap (pts)</t>
  </si>
  <si>
    <t xml:space="preserve">Tagged decline rate</t>
  </si>
  <si>
    <t xml:space="preserve">Untagged decline rate</t>
  </si>
  <si>
    <t xml:space="preserve">Share of all declines from tagged rows</t>
  </si>
  <si>
    <t xml:space="preserve">Sonnet 5</t>
  </si>
  <si>
    <t xml:space="preserve">Haiku 4.5</t>
  </si>
  <si>
    <t xml:space="preserve">Opus 5</t>
  </si>
  <si>
    <t xml:space="preserve">Checks</t>
  </si>
  <si>
    <t xml:space="preserve">Tagged + untagged rows = 150</t>
  </si>
  <si>
    <t xml:space="preserve">Tagged + untagged agreement = stage 2 tier agreement</t>
  </si>
  <si>
    <t xml:space="preserve">Stage 2 values: Sonnet 74, Haiku 88, Opus 76</t>
  </si>
  <si>
    <t xml:space="preserve">Tagged + untagged declines = stage 3 'model declined, I graded'</t>
  </si>
  <si>
    <t xml:space="preserve">Source: score.py stage 4 output (group_stats). Blue = copied from output; black = formulas.</t>
  </si>
  <si>
    <t xml:space="preserve">Stage 4 — What the slice shows</t>
  </si>
  <si>
    <t xml:space="preserve">Finding</t>
  </si>
  <si>
    <t xml:space="preserve">Evidence</t>
  </si>
  <si>
    <t xml:space="preserve">Implication</t>
  </si>
  <si>
    <t xml:space="preserve">Spec mismatch confirmed</t>
  </si>
  <si>
    <t xml:space="preserve">37 tagged rows are 25% of the set but ~two-thirds of every model's 'declined where I graded' (19/29, 21/30, 25/38). Tagged agreement 16-22%.</t>
  </si>
  <si>
    <t xml:space="preserve">My labeling rule grades bare claims; the prompt tells the model not to. The models are following instructions. Opus follows that instruction most literally.</t>
  </si>
  <si>
    <t xml:space="preserve">My Haiku hypothesis was wrong</t>
  </si>
  <si>
    <t xml:space="preserve">Haiku and Sonnet tie on tagged rows (8/37 each). Haiku's lead is entirely on untagged rows: 71% vs 58% (Sonnet) and 62% (Opus).</t>
  </si>
  <si>
    <t xml:space="preserve">Haiku isn't winning by echoing seller claims. The cheapest model best matches my judgment where real condition evidence exists.</t>
  </si>
  <si>
    <t xml:space="preserve">Disagreement has two layers</t>
  </si>
  <si>
    <t xml:space="preserve">Instruction conflict (concentrated in 37 rows) and genuine judgment disagreement on evidence-bearing rows (mostly one tier, mostly generous).</t>
  </si>
  <si>
    <t xml:space="preserve">The 49-59% headline blends both. Report them separately.</t>
  </si>
  <si>
    <t xml:space="preserve">Correlation, not yet causation</t>
  </si>
  <si>
    <t xml:space="preserve">Low agreement on tagged rows could also mean bare-claim listings are inherently harder, independent of the instruction.</t>
  </si>
  <si>
    <t xml:space="preserve">A one-shot aligned-prompt re-run on the 37 rows would separate the two explanations.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</si>
</sst>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37</v>
      </c>
      <c r="C5" s="5" t="n">
        <v>8</v>
      </c>
      <c r="D5" s="5" t="n">
        <v>19</v>
      </c>
      <c r="E5" s="5" t="n">
        <v>113</v>
      </c>
      <c r="F5" s="5" t="n">
        <v>66</v>
      </c>
      <c r="G5" s="5" t="n">
        <v>10</v>
      </c>
      <c r="H5" s="5" t="n">
        <v>29</v>
      </c>
      <c r="I5" s="6" t="n">
        <f aca="false">C5/B5</f>
        <v>0.216216216216216</v>
      </c>
      <c r="J5" s="6" t="n">
        <f aca="false">F5/E5</f>
        <v>0.584070796460177</v>
      </c>
      <c r="K5" s="7" t="n">
        <f aca="false">(J5-I5)*100</f>
        <v>36.7854580243961</v>
      </c>
      <c r="L5" s="6" t="n">
        <f aca="false">D5/B5</f>
        <v>0.513513513513514</v>
      </c>
      <c r="M5" s="6" t="n">
        <f aca="false">G5/E5</f>
        <v>0.0884955752212389</v>
      </c>
      <c r="N5" s="6" t="n">
        <f aca="false">IFERROR(D5/H5,0)</f>
        <v>0.655172413793103</v>
      </c>
    </row>
    <row r="6" customFormat="false" ht="15" hidden="false" customHeight="false" outlineLevel="0" collapsed="false">
      <c r="A6" s="4" t="s">
        <v>17</v>
      </c>
      <c r="B6" s="5" t="n">
        <v>37</v>
      </c>
      <c r="C6" s="5" t="n">
        <v>8</v>
      </c>
      <c r="D6" s="5" t="n">
        <v>21</v>
      </c>
      <c r="E6" s="5" t="n">
        <v>113</v>
      </c>
      <c r="F6" s="5" t="n">
        <v>80</v>
      </c>
      <c r="G6" s="5" t="n">
        <v>9</v>
      </c>
      <c r="H6" s="5" t="n">
        <v>30</v>
      </c>
      <c r="I6" s="6" t="n">
        <f aca="false">C6/B6</f>
        <v>0.216216216216216</v>
      </c>
      <c r="J6" s="6" t="n">
        <f aca="false">F6/E6</f>
        <v>0.707964601769912</v>
      </c>
      <c r="K6" s="7" t="n">
        <f aca="false">(J6-I6)*100</f>
        <v>49.1748385553695</v>
      </c>
      <c r="L6" s="6" t="n">
        <f aca="false">D6/B6</f>
        <v>0.567567567567568</v>
      </c>
      <c r="M6" s="6" t="n">
        <f aca="false">G6/E6</f>
        <v>0.079646017699115</v>
      </c>
      <c r="N6" s="6" t="n">
        <f aca="false">IFERROR(D6/H6,0)</f>
        <v>0.7</v>
      </c>
    </row>
    <row r="7" customFormat="false" ht="15" hidden="false" customHeight="false" outlineLevel="0" collapsed="false">
      <c r="A7" s="4" t="s">
        <v>18</v>
      </c>
      <c r="B7" s="5" t="n">
        <v>37</v>
      </c>
      <c r="C7" s="5" t="n">
        <v>6</v>
      </c>
      <c r="D7" s="5" t="n">
        <v>25</v>
      </c>
      <c r="E7" s="5" t="n">
        <v>113</v>
      </c>
      <c r="F7" s="5" t="n">
        <v>70</v>
      </c>
      <c r="G7" s="5" t="n">
        <v>13</v>
      </c>
      <c r="H7" s="5" t="n">
        <v>38</v>
      </c>
      <c r="I7" s="6" t="n">
        <f aca="false">C7/B7</f>
        <v>0.162162162162162</v>
      </c>
      <c r="J7" s="6" t="n">
        <f aca="false">F7/E7</f>
        <v>0.619469026548673</v>
      </c>
      <c r="K7" s="7" t="n">
        <f aca="false">(J7-I7)*100</f>
        <v>45.730686438651</v>
      </c>
      <c r="L7" s="6" t="n">
        <f aca="false">D7/B7</f>
        <v>0.675675675675676</v>
      </c>
      <c r="M7" s="6" t="n">
        <f aca="false">G7/E7</f>
        <v>0.115044247787611</v>
      </c>
      <c r="N7" s="6" t="n">
        <f aca="false">IFERROR(D7/H7,0)</f>
        <v>0.657894736842105</v>
      </c>
    </row>
    <row r="9" customFormat="false" ht="15" hidden="false" customHeight="false" outlineLevel="0" collapsed="false">
      <c r="A9" s="8" t="s">
        <v>19</v>
      </c>
      <c r="B9" s="9" t="s">
        <v>16</v>
      </c>
      <c r="C9" s="9" t="s">
        <v>17</v>
      </c>
      <c r="D9" s="9" t="s">
        <v>18</v>
      </c>
    </row>
    <row r="10" customFormat="false" ht="15" hidden="false" customHeight="false" outlineLevel="0" collapsed="false">
      <c r="A10" s="9" t="s">
        <v>20</v>
      </c>
      <c r="B10" s="10" t="n">
        <f aca="false">B5+E5</f>
        <v>150</v>
      </c>
      <c r="C10" s="10" t="n">
        <f aca="false">B6+E6</f>
        <v>150</v>
      </c>
      <c r="D10" s="10" t="n">
        <f aca="false">B7+E7</f>
        <v>150</v>
      </c>
    </row>
    <row r="11" customFormat="false" ht="15" hidden="false" customHeight="false" outlineLevel="0" collapsed="false">
      <c r="A11" s="9" t="s">
        <v>21</v>
      </c>
      <c r="B11" s="10" t="n">
        <f aca="false">C5+F5</f>
        <v>74</v>
      </c>
      <c r="C11" s="10" t="n">
        <f aca="false">C6+F6</f>
        <v>88</v>
      </c>
      <c r="D11" s="10" t="n">
        <f aca="false">C7+F7</f>
        <v>76</v>
      </c>
      <c r="E11" s="2" t="s">
        <v>22</v>
      </c>
    </row>
    <row r="12" customFormat="false" ht="15" hidden="false" customHeight="false" outlineLevel="0" collapsed="false">
      <c r="A12" s="9" t="s">
        <v>23</v>
      </c>
      <c r="B12" s="10" t="str">
        <f aca="false">IF(D5+G5=H5,"OK","MISMATCH")</f>
        <v>OK</v>
      </c>
      <c r="C12" s="10" t="str">
        <f aca="false">IF(D6+G6=H6,"OK","MISMATCH")</f>
        <v>OK</v>
      </c>
      <c r="D12" s="10" t="str">
        <f aca="false">IF(D7+G7=H7,"OK","MISMATCH")</f>
        <v>OK</v>
      </c>
    </row>
    <row r="14" customFormat="false" ht="15" hidden="false" customHeight="false" outlineLevel="0" collapsed="false">
      <c r="A14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</row>
    <row r="4" customFormat="false" ht="78" hidden="false" customHeight="true" outlineLevel="0" collapsed="false">
      <c r="A4" s="11" t="s">
        <v>29</v>
      </c>
      <c r="B4" s="12" t="s">
        <v>30</v>
      </c>
      <c r="C4" s="12" t="s">
        <v>31</v>
      </c>
    </row>
    <row r="5" customFormat="false" ht="78" hidden="false" customHeight="true" outlineLevel="0" collapsed="false">
      <c r="A5" s="11" t="s">
        <v>32</v>
      </c>
      <c r="B5" s="12" t="s">
        <v>33</v>
      </c>
      <c r="C5" s="12" t="s">
        <v>34</v>
      </c>
    </row>
    <row r="6" customFormat="false" ht="78" hidden="false" customHeight="true" outlineLevel="0" collapsed="false">
      <c r="A6" s="11" t="s">
        <v>35</v>
      </c>
      <c r="B6" s="12" t="s">
        <v>36</v>
      </c>
      <c r="C6" s="12" t="s">
        <v>37</v>
      </c>
    </row>
    <row r="7" customFormat="false" ht="78" hidden="false" customHeight="true" outlineLevel="0" collapsed="false">
      <c r="A7" s="11" t="s">
        <v>38</v>
      </c>
      <c r="B7" s="12" t="s">
        <v>39</v>
      </c>
      <c r="C7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2026-10-07T18:28:44Z</dcterms:created>
  <dc:creator>openpyxl</dc:creator>
  <dc:description/>
  <dc:language>en-US</dc:language>
  <cp:lastModifiedBy/>
  <dcterms:modified xsi:type="dcterms:W3CDTF">2026-10-07T18:28:44Z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