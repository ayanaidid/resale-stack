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 2 Results" sheetId="1" state="visible" r:id="rId3"/>
    <sheet name="Interpret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Source: score.py output — Matched: 150 for all three models.</t>
        </r>
      </text>
    </comment>
  </commentList>
</comments>
</file>

<file path=xl/sharedStrings.xml><?xml version="1.0" encoding="utf-8"?>
<sst xmlns="http://schemas.openxmlformats.org/spreadsheetml/2006/main" count="45" uniqueCount="45">
  <si>
    <t xml:space="preserve">Resale Stack — Week 2 Scoring, Stage 2 (per-field agreement)</t>
  </si>
  <si>
    <t xml:space="preserve">Agreement between hand-labeled golden set and model predictions, after normalization.</t>
  </si>
  <si>
    <t xml:space="preserve">Listings in golden set</t>
  </si>
  <si>
    <t xml:space="preserve">Model</t>
  </si>
  <si>
    <t xml:space="preserve">Brand matches</t>
  </si>
  <si>
    <t xml:space="preserve">Subcategory matches</t>
  </si>
  <si>
    <t xml:space="preserve">Tier matches</t>
  </si>
  <si>
    <t xml:space="preserve">Brand agreement</t>
  </si>
  <si>
    <t xml:space="preserve">Subcategory agreement</t>
  </si>
  <si>
    <t xml:space="preserve">Tier agreement</t>
  </si>
  <si>
    <t xml:space="preserve">Sonnet 5</t>
  </si>
  <si>
    <t xml:space="preserve">Haiku 4.5</t>
  </si>
  <si>
    <t xml:space="preserve">Opus 5</t>
  </si>
  <si>
    <t xml:space="preserve">Highest</t>
  </si>
  <si>
    <t xml:space="preserve">Lowest</t>
  </si>
  <si>
    <t xml:space="preserve">Spread (pts)</t>
  </si>
  <si>
    <t xml:space="preserve">Source: score.py stage 2 output, one run per model on predictions_{model}.jsonl. Blue = hardcoded from that output; black = formulas.</t>
  </si>
  <si>
    <t xml:space="preserve">Week 1 baseline (Sonnet 5, condition tier)</t>
  </si>
  <si>
    <t xml:space="preserve">Measure</t>
  </si>
  <si>
    <t xml:space="preserve">Matches</t>
  </si>
  <si>
    <t xml:space="preserve">Denominator</t>
  </si>
  <si>
    <t xml:space="preserve">Agreement</t>
  </si>
  <si>
    <t xml:space="preserve">All graded listings</t>
  </si>
  <si>
    <t xml:space="preserve">Both assigned a real tier</t>
  </si>
  <si>
    <t xml:space="preserve">Change vs Week 1 (Sonnet 5, all listings)</t>
  </si>
  <si>
    <t xml:space="preserve">Source: week-01 grading_sheet.csv (30 listings; model declined on 10). Week 2 prompt adds the full rubric, so not a like-for-like comparison.</t>
  </si>
  <si>
    <t xml:space="preserve">What these numbers do and don't say</t>
  </si>
  <si>
    <t xml:space="preserve">Finding</t>
  </si>
  <si>
    <t xml:space="preserve">Read</t>
  </si>
  <si>
    <t xml:space="preserve">What would test it</t>
  </si>
  <si>
    <t xml:space="preserve">Haiku has the highest tier agreement</t>
  </si>
  <si>
    <t xml:space="preserve">Not evidence Haiku grades best. My bare-claims rule takes the seller's stated condition; a model that echoes seller claims would agree with me on exactly those rows.</t>
  </si>
  <si>
    <t xml:space="preserve">Compare agreement on the 37 'claim without evidence' rows vs. the other 113, per model.</t>
  </si>
  <si>
    <t xml:space="preserve">Tier agreement up sharply from Week 1</t>
  </si>
  <si>
    <t xml:space="preserve">Roughly 50-59% vs. 27% in Week 1. Partly the rubric now in the prompt, partly cleaner labels. The two causes are not yet separated.</t>
  </si>
  <si>
    <t xml:space="preserve">Stage 3 confusion matrix; compare the 30 blind-relabel rows against Week 1 grades.</t>
  </si>
  <si>
    <t xml:space="preserve">Subcategory is low, worst on Opus</t>
  </si>
  <si>
    <t xml:space="preserve">Expected: the field is unconstrained free text. Opus likely uses more specific terms (e.g. 'high-top sneaker' vs 'sneaker'). Mostly vocabulary, not substance.</t>
  </si>
  <si>
    <t xml:space="preserve">Print mismatched pairs before adding any alias. Alias only when both strings name the same thing.</t>
  </si>
  <si>
    <t xml:space="preserve">Brand ~91% across all three</t>
  </si>
  <si>
    <t xml:space="preserve">About 14 misses per model. Small enough to read every one; some will be alias gaps, some real disagreements.</t>
  </si>
  <si>
    <t xml:space="preserve">Print brand mismatches; log any alias added post-hoc with the mismatch that prompted it.</t>
  </si>
  <si>
    <t xml:space="preserve">Direction of tier misses unknown</t>
  </si>
  <si>
    <t xml:space="preserve">Stage 2 measures whether we agree, not which way we disagree. Pre-registered prediction 2 (generous skew, worse on sparse listings) is untested here.</t>
  </si>
  <si>
    <t xml:space="preserve">Stage 3 confusion matrix + stage 5 skew count.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</si>
</sst>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"/>
    <numFmt numFmtId="167" formatCode="\+0.0%;\-0.0%;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150</v>
      </c>
    </row>
    <row r="6" customFormat="false" ht="31.5" hidden="false" customHeight="tru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</row>
    <row r="7" customFormat="false" ht="15" hidden="false" customHeight="false" outlineLevel="0" collapsed="false">
      <c r="A7" s="6" t="s">
        <v>10</v>
      </c>
      <c r="B7" s="7" t="n">
        <v>137</v>
      </c>
      <c r="C7" s="7" t="n">
        <v>51</v>
      </c>
      <c r="D7" s="7" t="n">
        <v>74</v>
      </c>
      <c r="E7" s="8" t="n">
        <f aca="false">B7/$B$4</f>
        <v>0.913333333333333</v>
      </c>
      <c r="F7" s="8" t="n">
        <f aca="false">C7/$B$4</f>
        <v>0.34</v>
      </c>
      <c r="G7" s="8" t="n">
        <f aca="false">D7/$B$4</f>
        <v>0.493333333333333</v>
      </c>
    </row>
    <row r="8" customFormat="false" ht="15" hidden="false" customHeight="false" outlineLevel="0" collapsed="false">
      <c r="A8" s="6" t="s">
        <v>11</v>
      </c>
      <c r="B8" s="7" t="n">
        <v>136</v>
      </c>
      <c r="C8" s="7" t="n">
        <v>48</v>
      </c>
      <c r="D8" s="7" t="n">
        <v>88</v>
      </c>
      <c r="E8" s="8" t="n">
        <f aca="false">B8/$B$4</f>
        <v>0.906666666666667</v>
      </c>
      <c r="F8" s="8" t="n">
        <f aca="false">C8/$B$4</f>
        <v>0.32</v>
      </c>
      <c r="G8" s="8" t="n">
        <f aca="false">D8/$B$4</f>
        <v>0.586666666666667</v>
      </c>
    </row>
    <row r="9" customFormat="false" ht="15" hidden="false" customHeight="false" outlineLevel="0" collapsed="false">
      <c r="A9" s="6" t="s">
        <v>12</v>
      </c>
      <c r="B9" s="7" t="n">
        <v>136</v>
      </c>
      <c r="C9" s="7" t="n">
        <v>30</v>
      </c>
      <c r="D9" s="7" t="n">
        <v>76</v>
      </c>
      <c r="E9" s="8" t="n">
        <f aca="false">B9/$B$4</f>
        <v>0.906666666666667</v>
      </c>
      <c r="F9" s="8" t="n">
        <f aca="false">C9/$B$4</f>
        <v>0.2</v>
      </c>
      <c r="G9" s="8" t="n">
        <f aca="false">D9/$B$4</f>
        <v>0.506666666666667</v>
      </c>
    </row>
    <row r="10" customFormat="false" ht="15" hidden="false" customHeight="false" outlineLevel="0" collapsed="false">
      <c r="A10" s="6" t="s">
        <v>13</v>
      </c>
      <c r="E10" s="8" t="n">
        <f aca="false">MAX(E7:E9)</f>
        <v>0.913333333333333</v>
      </c>
      <c r="F10" s="8" t="n">
        <f aca="false">MAX(F7:F9)</f>
        <v>0.34</v>
      </c>
      <c r="G10" s="8" t="n">
        <f aca="false">MAX(G7:G9)</f>
        <v>0.586666666666667</v>
      </c>
    </row>
    <row r="11" customFormat="false" ht="15" hidden="false" customHeight="false" outlineLevel="0" collapsed="false">
      <c r="A11" s="6" t="s">
        <v>14</v>
      </c>
      <c r="E11" s="8" t="n">
        <f aca="false">MIN(E7:E9)</f>
        <v>0.906666666666667</v>
      </c>
      <c r="F11" s="8" t="n">
        <f aca="false">MIN(F7:F9)</f>
        <v>0.2</v>
      </c>
      <c r="G11" s="8" t="n">
        <f aca="false">MIN(G7:G9)</f>
        <v>0.493333333333333</v>
      </c>
    </row>
    <row r="12" customFormat="false" ht="15" hidden="false" customHeight="false" outlineLevel="0" collapsed="false">
      <c r="A12" s="6" t="s">
        <v>15</v>
      </c>
      <c r="E12" s="9" t="n">
        <f aca="false">(E10-E11)*100</f>
        <v>0.666666666666671</v>
      </c>
      <c r="F12" s="9" t="n">
        <f aca="false">(F10-F11)*100</f>
        <v>14</v>
      </c>
      <c r="G12" s="9" t="n">
        <f aca="false">(G10-G11)*100</f>
        <v>9.33333333333333</v>
      </c>
    </row>
    <row r="13" customFormat="false" ht="15" hidden="false" customHeight="false" outlineLevel="0" collapsed="false">
      <c r="A13" s="2" t="s">
        <v>16</v>
      </c>
    </row>
    <row r="15" customFormat="false" ht="15" hidden="false" customHeight="false" outlineLevel="0" collapsed="false">
      <c r="A15" s="10" t="s">
        <v>17</v>
      </c>
    </row>
    <row r="16" customFormat="false" ht="15" hidden="false" customHeight="false" outlineLevel="0" collapsed="false">
      <c r="A16" s="11" t="s">
        <v>18</v>
      </c>
      <c r="B16" s="11" t="s">
        <v>19</v>
      </c>
      <c r="C16" s="11" t="s">
        <v>20</v>
      </c>
      <c r="D16" s="11" t="s">
        <v>21</v>
      </c>
    </row>
    <row r="17" customFormat="false" ht="15" hidden="false" customHeight="false" outlineLevel="0" collapsed="false">
      <c r="A17" s="6" t="s">
        <v>22</v>
      </c>
      <c r="B17" s="7" t="n">
        <v>8</v>
      </c>
      <c r="C17" s="7" t="n">
        <v>30</v>
      </c>
      <c r="D17" s="8" t="n">
        <f aca="false">B17/C17</f>
        <v>0.266666666666667</v>
      </c>
    </row>
    <row r="18" customFormat="false" ht="15" hidden="false" customHeight="false" outlineLevel="0" collapsed="false">
      <c r="A18" s="6" t="s">
        <v>23</v>
      </c>
      <c r="B18" s="7" t="n">
        <v>8</v>
      </c>
      <c r="C18" s="7" t="n">
        <v>20</v>
      </c>
      <c r="D18" s="8" t="n">
        <f aca="false">B18/C18</f>
        <v>0.4</v>
      </c>
    </row>
    <row r="19" customFormat="false" ht="15" hidden="false" customHeight="false" outlineLevel="0" collapsed="false">
      <c r="A19" s="6" t="s">
        <v>24</v>
      </c>
      <c r="D19" s="12" t="n">
        <f aca="false">G7-D17</f>
        <v>0.226666666666667</v>
      </c>
    </row>
    <row r="20" customFormat="false" ht="15" hidden="false" customHeight="false" outlineLevel="0" collapsed="false">
      <c r="A20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0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26</v>
      </c>
    </row>
    <row r="3" customFormat="false" ht="15" hidden="false" customHeight="false" outlineLevel="0" collapsed="false">
      <c r="A3" s="11" t="s">
        <v>27</v>
      </c>
      <c r="B3" s="11" t="s">
        <v>28</v>
      </c>
      <c r="C3" s="11" t="s">
        <v>29</v>
      </c>
    </row>
    <row r="4" customFormat="false" ht="61.5" hidden="false" customHeight="true" outlineLevel="0" collapsed="false">
      <c r="A4" s="13" t="s">
        <v>30</v>
      </c>
      <c r="B4" s="14" t="s">
        <v>31</v>
      </c>
      <c r="C4" s="14" t="s">
        <v>32</v>
      </c>
    </row>
    <row r="5" customFormat="false" ht="61.5" hidden="false" customHeight="true" outlineLevel="0" collapsed="false">
      <c r="A5" s="13" t="s">
        <v>33</v>
      </c>
      <c r="B5" s="14" t="s">
        <v>34</v>
      </c>
      <c r="C5" s="14" t="s">
        <v>35</v>
      </c>
    </row>
    <row r="6" customFormat="false" ht="61.5" hidden="false" customHeight="true" outlineLevel="0" collapsed="false">
      <c r="A6" s="13" t="s">
        <v>36</v>
      </c>
      <c r="B6" s="14" t="s">
        <v>37</v>
      </c>
      <c r="C6" s="14" t="s">
        <v>38</v>
      </c>
    </row>
    <row r="7" customFormat="false" ht="61.5" hidden="false" customHeight="true" outlineLevel="0" collapsed="false">
      <c r="A7" s="13" t="s">
        <v>39</v>
      </c>
      <c r="B7" s="14" t="s">
        <v>40</v>
      </c>
      <c r="C7" s="14" t="s">
        <v>41</v>
      </c>
    </row>
    <row r="8" customFormat="false" ht="61.5" hidden="false" customHeight="true" outlineLevel="0" collapsed="false">
      <c r="A8" s="13" t="s">
        <v>42</v>
      </c>
      <c r="B8" s="14" t="s">
        <v>43</v>
      </c>
      <c r="C8" s="1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2026-10-07T01:18:22Z</dcterms:created>
  <dc:creator>openpyxl</dc:creator>
  <dc:description/>
  <dc:language>en-US</dc:language>
  <cp:lastModifiedBy/>
  <dcterms:modified xsi:type="dcterms:W3CDTF">2026-10-07T01:18:22Z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