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sagreement Analysis" sheetId="2" state="visible" r:id="rId4"/>
    <sheet name="Label Amendments" sheetId="3" state="visible" r:id="rId5"/>
    <sheet name="Rubric Changes" sheetId="4" state="visible" r:id="rId6"/>
    <sheet name="Predictions" sheetId="5" state="visible" r:id="rId7"/>
    <sheet name="Findings" sheetId="6" state="visible" r:id="rId8"/>
    <sheet name="Caveats &amp; Next" sheetId="7" state="visible" r:id="rId9"/>
    <sheet name="V1 Matrices" sheetId="8" state="visible" r:id="rId10"/>
    <sheet name="V2 Matrices" sheetId="9" state="visible" r:id="rId11"/>
    <sheet name="V1 Corrected" sheetId="10" state="visible" r:id="rId12"/>
    <sheet name="V2 Corrected" sheetId="11" state="visible" r:id="rId13"/>
    <sheet name="V2 Tagged Matrices" sheetId="12" state="visible" r:id="rId14"/>
    <sheet name="Week 1 Baselin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<sst xmlns="http://schemas.openxmlformats.org/spreadsheetml/2006/main" count="748" uniqueCount="354">
  <si>
    <t xml:space="preserve">Resale Stack — Week 2 evaluation results</t>
  </si>
  <si>
    <t xml:space="preserve">150 hand-labeled listings · 3 Claude models · 2 prompt versions · 2 label versions. 'Agreement' = match with my labels, not objective accuracy. Original labels are the headline.</t>
  </si>
  <si>
    <t xml:space="preserve">Headline: condition-tier agreement</t>
  </si>
  <si>
    <t xml:space="preserve">Model</t>
  </si>
  <si>
    <t xml:space="preserve">v1 · original</t>
  </si>
  <si>
    <t xml:space="preserve">v1 · corrected</t>
  </si>
  <si>
    <t xml:space="preserve">v2 · original</t>
  </si>
  <si>
    <t xml:space="preserve">v2 · corrected</t>
  </si>
  <si>
    <t xml:space="preserve">v1 gap (pts)</t>
  </si>
  <si>
    <t xml:space="preserve">v2 gap (pts)</t>
  </si>
  <si>
    <t xml:space="preserve">Price per M tokens (in / out)</t>
  </si>
  <si>
    <t xml:space="preserve">Sonnet 5</t>
  </si>
  <si>
    <t xml:space="preserve">$2 / $10</t>
  </si>
  <si>
    <t xml:space="preserve">Haiku 4.5</t>
  </si>
  <si>
    <t xml:space="preserve">$1 / $5</t>
  </si>
  <si>
    <t xml:space="preserve">Opus 5</t>
  </si>
  <si>
    <t xml:space="preserve">$5 / $25</t>
  </si>
  <si>
    <t xml:space="preserve">Yellow = corrected labels. Prices are published API list prices at time of run (verify before quoting). Gap = how much of apparent disagreement was my own label noise.</t>
  </si>
  <si>
    <t xml:space="preserve">Agreement by field (original labels)</t>
  </si>
  <si>
    <t xml:space="preserve">Prompt</t>
  </si>
  <si>
    <t xml:space="preserve">Brand</t>
  </si>
  <si>
    <t xml:space="preserve">Subcategory</t>
  </si>
  <si>
    <t xml:space="preserve">Tier</t>
  </si>
  <si>
    <t xml:space="preserve">Brand %</t>
  </si>
  <si>
    <t xml:space="preserve">Subcategory %</t>
  </si>
  <si>
    <t xml:space="preserve">Tier %</t>
  </si>
  <si>
    <t xml:space="preserve">v1</t>
  </si>
  <si>
    <t xml:space="preserve">v2</t>
  </si>
  <si>
    <t xml:space="preserve">Brand and subcategory instructions never changed, so they act as a control. Subcategory is low because it was free text with no fixed vocabulary.</t>
  </si>
  <si>
    <t xml:space="preserve">Condition tier detail</t>
  </si>
  <si>
    <t xml:space="preserve">Metric</t>
  </si>
  <si>
    <t xml:space="preserve">Sonnet v1</t>
  </si>
  <si>
    <t xml:space="preserve">Sonnet v1 corr</t>
  </si>
  <si>
    <t xml:space="preserve">Sonnet v2</t>
  </si>
  <si>
    <t xml:space="preserve">Sonnet v2 corr</t>
  </si>
  <si>
    <t xml:space="preserve">Haiku v1</t>
  </si>
  <si>
    <t xml:space="preserve">Haiku v1 corr</t>
  </si>
  <si>
    <t xml:space="preserve">Haiku v2</t>
  </si>
  <si>
    <t xml:space="preserve">Haiku v2 corr</t>
  </si>
  <si>
    <t xml:space="preserve">Opus v1</t>
  </si>
  <si>
    <t xml:space="preserve">Opus v1 corr</t>
  </si>
  <si>
    <t xml:space="preserve">Opus v2</t>
  </si>
  <si>
    <t xml:space="preserve">Opus v2 corr</t>
  </si>
  <si>
    <t xml:space="preserve">Tier agreement (count)</t>
  </si>
  <si>
    <t xml:space="preserve">Tier agreement %</t>
  </si>
  <si>
    <t xml:space="preserve">Model declined, I graded</t>
  </si>
  <si>
    <t xml:space="preserve">I declined, model graded</t>
  </si>
  <si>
    <t xml:space="preserve">Both declined</t>
  </si>
  <si>
    <t xml:space="preserve">Both graded</t>
  </si>
  <si>
    <t xml:space="preserve">Agreement where both graded</t>
  </si>
  <si>
    <t xml:space="preserve">Model more generous</t>
  </si>
  <si>
    <t xml:space="preserve">Model stricter</t>
  </si>
  <si>
    <t xml:space="preserve">Generous share</t>
  </si>
  <si>
    <t xml:space="preserve">One-tier misses</t>
  </si>
  <si>
    <t xml:space="preserve">Two-plus-tier misses</t>
  </si>
  <si>
    <t xml:space="preserve">Excellent → Pristine</t>
  </si>
  <si>
    <t xml:space="preserve">Blue-shaded = v2 original; yellow = corrected labels.</t>
  </si>
  <si>
    <t xml:space="preserve">'Claim without evidence' slice</t>
  </si>
  <si>
    <t xml:space="preserve">Labels</t>
  </si>
  <si>
    <t xml:space="preserve">Tagged rows</t>
  </si>
  <si>
    <t xml:space="preserve">Tagged agree</t>
  </si>
  <si>
    <t xml:space="preserve">Tagged: model declined</t>
  </si>
  <si>
    <t xml:space="preserve">Untagged rows</t>
  </si>
  <si>
    <t xml:space="preserve">Untagged agree</t>
  </si>
  <si>
    <t xml:space="preserve">Untagged: model declined</t>
  </si>
  <si>
    <t xml:space="preserve">Tagged %</t>
  </si>
  <si>
    <t xml:space="preserve">Untagged %</t>
  </si>
  <si>
    <t xml:space="preserve">Check vs tier agreement</t>
  </si>
  <si>
    <t xml:space="preserve">original</t>
  </si>
  <si>
    <t xml:space="preserve">corrected</t>
  </si>
  <si>
    <t xml:space="preserve">Tagged count is 39 under corrected labels: two amended notes (L096, L123) now contain the tag phrase. Compare slices within a label version, not across.</t>
  </si>
  <si>
    <t xml:space="preserve">Disagreement analysis — 24 listings all three v2 models got wrong</t>
  </si>
  <si>
    <t xml:space="preserve">Reviewed by hand on 9 Oct against original labels. Each row assigned one cause. Full worksheet: week-02/data/disagreements_v2.csv</t>
  </si>
  <si>
    <t xml:space="preserve">Cause</t>
  </si>
  <si>
    <t xml:space="preserve">Count</t>
  </si>
  <si>
    <t xml:space="preserve">Share</t>
  </si>
  <si>
    <t xml:space="preserve">What it means</t>
  </si>
  <si>
    <t xml:space="preserve">Fix it points to</t>
  </si>
  <si>
    <t xml:space="preserve">label error</t>
  </si>
  <si>
    <t xml:space="preserve">My label was wrong; on re-reading, the models were right.</t>
  </si>
  <si>
    <t xml:space="preserve">Golden-set problem → correct the label</t>
  </si>
  <si>
    <t xml:space="preserve">rubric gap</t>
  </si>
  <si>
    <t xml:space="preserve">No written rule decided the case; both answers were defensible.</t>
  </si>
  <si>
    <t xml:space="preserve">Spec problem → write a rule</t>
  </si>
  <si>
    <t xml:space="preserve">spec mismatch</t>
  </si>
  <si>
    <t xml:space="preserve">A rule existed in my labeling instructions but the prompt lacked it or said the opposite.</t>
  </si>
  <si>
    <t xml:space="preserve">Prompt problem → align the prompt</t>
  </si>
  <si>
    <t xml:space="preserve">genuine ambiguity</t>
  </si>
  <si>
    <t xml:space="preserve">The listing itself supports more than one tier.</t>
  </si>
  <si>
    <t xml:space="preserve">Data problem → better listings / photos</t>
  </si>
  <si>
    <t xml:space="preserve">model error</t>
  </si>
  <si>
    <t xml:space="preserve">My label followed the rubric; the models misread it.</t>
  </si>
  <si>
    <t xml:space="preserve">Model problem</t>
  </si>
  <si>
    <t xml:space="preserve">Total</t>
  </si>
  <si>
    <t xml:space="preserve">Model consensus as a signal</t>
  </si>
  <si>
    <t xml:space="preserve">Group</t>
  </si>
  <si>
    <t xml:space="preserve">Rows</t>
  </si>
  <si>
    <t xml:space="preserve">Label errors</t>
  </si>
  <si>
    <t xml:space="preserve">All three models agreed with each other</t>
  </si>
  <si>
    <t xml:space="preserve">Models split among themselves</t>
  </si>
  <si>
    <t xml:space="preserve">Counted directly from disagreements_v2.csv (final causes). Consensus rows were label errors 59% of the time vs 43% for split rows: a modest hint on 24 rows, not a strong signal. An earlier version reported 13 of 17 and 0 of 7 in error.</t>
  </si>
  <si>
    <t xml:space="preserve">Clusters found</t>
  </si>
  <si>
    <t xml:space="preserve">Cluster</t>
  </si>
  <si>
    <t xml:space="preserve">Resolution</t>
  </si>
  <si>
    <t xml:space="preserve">Packaging/tags with no wear language</t>
  </si>
  <si>
    <t xml:space="preserve">L017, L034, L065, L067, L068, L070, L071</t>
  </si>
  <si>
    <t xml:space="preserve">Box/dust bag not evidence; tags attached are evidence of unworn (rubric decides Pristine vs Excellent)</t>
  </si>
  <si>
    <t xml:space="preserve">Two conflicting condition statements</t>
  </si>
  <si>
    <t xml:space="preserve">L028, L030, L140, L142</t>
  </si>
  <si>
    <t xml:space="preserve">New rule: no wear described → grade to the lower statement</t>
  </si>
  <si>
    <t xml:space="preserve">Good vs Fair contradiction in rubric</t>
  </si>
  <si>
    <t xml:space="preserve">L035, L039, L048</t>
  </si>
  <si>
    <t xml:space="preserve">Fair = functional impairment, 3+ structural flaws, or stated need for repair</t>
  </si>
  <si>
    <t xml:space="preserve">Severity vs mark count</t>
  </si>
  <si>
    <t xml:space="preserve">L105</t>
  </si>
  <si>
    <t xml:space="preserve">Visible staining = Good regardless of mark count</t>
  </si>
  <si>
    <t xml:space="preserve">My conservatism / missed details</t>
  </si>
  <si>
    <t xml:space="preserve">L037, L061, L083, L096, L108, L109, L123, L127, L082</t>
  </si>
  <si>
    <t xml:space="preserve">Corrected as label errors</t>
  </si>
  <si>
    <t xml:space="preserve">Limit: only rows where all three models missed were reviewed. Rows where one model alone was wrong were not, and real model errors live there.</t>
  </si>
  <si>
    <t xml:space="preserve">Label amendments — 9 Oct 2026 (29 rows)</t>
  </si>
  <si>
    <t xml:space="preserve">Every change is dated and explained in labels.csv (label_notes starts with 'AMENDED'). Original labels remain in git history and are the headline.</t>
  </si>
  <si>
    <t xml:space="preserve">Listing</t>
  </si>
  <si>
    <t xml:space="preserve">Category</t>
  </si>
  <si>
    <t xml:space="preserve">Before</t>
  </si>
  <si>
    <t xml:space="preserve">After</t>
  </si>
  <si>
    <t xml:space="preserve">Reason</t>
  </si>
  <si>
    <t xml:space="preserve">L017</t>
  </si>
  <si>
    <t xml:space="preserve">shoes</t>
  </si>
  <si>
    <t xml:space="preserve">excellent</t>
  </si>
  <si>
    <t xml:space="preserve">insufficient information</t>
  </si>
  <si>
    <t xml:space="preserve">Packaging rule: box &amp; dust bag aren't condition evidence</t>
  </si>
  <si>
    <t xml:space="preserve">L067</t>
  </si>
  <si>
    <t xml:space="preserve">handbag</t>
  </si>
  <si>
    <t xml:space="preserve">Packaging rule</t>
  </si>
  <si>
    <t xml:space="preserve">L068</t>
  </si>
  <si>
    <t xml:space="preserve">clothing</t>
  </si>
  <si>
    <t xml:space="preserve">pristine</t>
  </si>
  <si>
    <t xml:space="preserve">Tags rule: tags attached on clothing = unworn</t>
  </si>
  <si>
    <t xml:space="preserve">L070</t>
  </si>
  <si>
    <t xml:space="preserve">Tags rule</t>
  </si>
  <si>
    <t xml:space="preserve">L071</t>
  </si>
  <si>
    <t xml:space="preserve">L108</t>
  </si>
  <si>
    <t xml:space="preserve">Tags rule (never worn, tag attached)</t>
  </si>
  <si>
    <t xml:space="preserve">L109</t>
  </si>
  <si>
    <t xml:space="preserve">Tags rule (new with tags)</t>
  </si>
  <si>
    <t xml:space="preserve">L076</t>
  </si>
  <si>
    <t xml:space="preserve">Tags + box + dust bag</t>
  </si>
  <si>
    <t xml:space="preserve">L101</t>
  </si>
  <si>
    <t xml:space="preserve">jewelry</t>
  </si>
  <si>
    <t xml:space="preserve">Tags, no wear; jewelry doesn't require tags</t>
  </si>
  <si>
    <t xml:space="preserve">L034</t>
  </si>
  <si>
    <t xml:space="preserve">Tags + dust bag, no box</t>
  </si>
  <si>
    <t xml:space="preserve">L065</t>
  </si>
  <si>
    <t xml:space="preserve">L022</t>
  </si>
  <si>
    <t xml:space="preserve">New with tags but no box/dust bag</t>
  </si>
  <si>
    <t xml:space="preserve">L013</t>
  </si>
  <si>
    <t xml:space="preserve">Briefly moved to Pristine in error (listing says 'new without tags'); reverted</t>
  </si>
  <si>
    <t xml:space="preserve">L021</t>
  </si>
  <si>
    <t xml:space="preserve">Confidence medium → low (tags only evidence on shoes)</t>
  </si>
  <si>
    <t xml:space="preserve">L039</t>
  </si>
  <si>
    <t xml:space="preserve">good</t>
  </si>
  <si>
    <t xml:space="preserve">fair</t>
  </si>
  <si>
    <t xml:space="preserve">Good/Fair rule: 3+ structural flaws</t>
  </si>
  <si>
    <t xml:space="preserve">L048</t>
  </si>
  <si>
    <t xml:space="preserve">L140</t>
  </si>
  <si>
    <t xml:space="preserve">very good</t>
  </si>
  <si>
    <t xml:space="preserve">Conflicting statements → lower</t>
  </si>
  <si>
    <t xml:space="preserve">L118</t>
  </si>
  <si>
    <t xml:space="preserve">L150</t>
  </si>
  <si>
    <t xml:space="preserve">L029</t>
  </si>
  <si>
    <t xml:space="preserve">L037</t>
  </si>
  <si>
    <t xml:space="preserve">Review label error: bare claim 'Like New'</t>
  </si>
  <si>
    <t xml:space="preserve">L127</t>
  </si>
  <si>
    <t xml:space="preserve">L123</t>
  </si>
  <si>
    <t xml:space="preserve">Review label error: bare claim in title</t>
  </si>
  <si>
    <t xml:space="preserve">L061</t>
  </si>
  <si>
    <t xml:space="preserve">Review label error: one faint scratch</t>
  </si>
  <si>
    <t xml:space="preserve">L082</t>
  </si>
  <si>
    <t xml:space="preserve">Review label error: 5 marks incl. structural</t>
  </si>
  <si>
    <t xml:space="preserve">L083</t>
  </si>
  <si>
    <t xml:space="preserve">Review label error: 5+ cosmetic marks</t>
  </si>
  <si>
    <t xml:space="preserve">L096</t>
  </si>
  <si>
    <t xml:space="preserve">Review label error: bare claim 'good'</t>
  </si>
  <si>
    <t xml:space="preserve">Review label error: staining = Good</t>
  </si>
  <si>
    <t xml:space="preserve">L035</t>
  </si>
  <si>
    <t xml:space="preserve">Review label error: sticky zipper = functional impairment</t>
  </si>
  <si>
    <t xml:space="preserve">Rules written or changed during Week 2</t>
  </si>
  <si>
    <t xml:space="preserve">Date</t>
  </si>
  <si>
    <t xml:space="preserve">Rule</t>
  </si>
  <si>
    <t xml:space="preserve">Why</t>
  </si>
  <si>
    <t xml:space="preserve">Labeling</t>
  </si>
  <si>
    <t xml:space="preserve">Label from title + description only; price, platform condition field, platform, photos hidden</t>
  </si>
  <si>
    <t xml:space="preserve">The model only sees title and description — same input or the comparison means nothing</t>
  </si>
  <si>
    <t xml:space="preserve">Bare claims are gradeable: take the claim, cap below Pristine, low confidence, tag 'claim without evidence'</t>
  </si>
  <si>
    <t xml:space="preserve">A seller's verdict is information, but not evidence</t>
  </si>
  <si>
    <t xml:space="preserve">Verdict vs fact: 'gently used', 'Pre-owned - Good' are verdicts; 'never worn', 'original packaging' are facts</t>
  </si>
  <si>
    <t xml:space="preserve">Boilerplate splits two ways</t>
  </si>
  <si>
    <t xml:space="preserve">Insufficient information only when there is no condition language at all</t>
  </si>
  <si>
    <t xml:space="preserve">Narrow, reproducible decline rule</t>
  </si>
  <si>
    <t xml:space="preserve">Contradictions: discard the title's claim, grade the description's evidence</t>
  </si>
  <si>
    <t xml:space="preserve">A stated flaw beats a title adjective</t>
  </si>
  <si>
    <t xml:space="preserve">Authentication flag dropped</t>
  </si>
  <si>
    <t xml:space="preserve">Authenticity can't be judged from text and there's no ground truth</t>
  </si>
  <si>
    <t xml:space="preserve">2026-10-06</t>
  </si>
  <si>
    <t xml:space="preserve">No brand named → 'Unbranded'</t>
  </si>
  <si>
    <t xml:space="preserve">Mostly fine jewelry sold on materials; matches how I'd already labeled</t>
  </si>
  <si>
    <t xml:space="preserve">2026-10-09</t>
  </si>
  <si>
    <t xml:space="preserve">Box and dust bag alone are not condition evidence (any category)</t>
  </si>
  <si>
    <t xml:space="preserve">Easily kept regardless of use</t>
  </si>
  <si>
    <t xml:space="preserve">Tags attached are evidence of unworn (any category); rubric packaging criteria decide the tier</t>
  </si>
  <si>
    <t xml:space="preserve">Tags come off when items are used</t>
  </si>
  <si>
    <t xml:space="preserve">What counts as tags; confidence by category (strong for clothing, weak elsewhere)</t>
  </si>
  <si>
    <t xml:space="preserve">Make the judgment reproducible</t>
  </si>
  <si>
    <t xml:space="preserve">Severity overrides count</t>
  </si>
  <si>
    <t xml:space="preserve">Conflicting condition statements, no wear described → grade to the lower</t>
  </si>
  <si>
    <t xml:space="preserve">Simple, reproducible, matches stricter-than-market stance</t>
  </si>
  <si>
    <t xml:space="preserve">Structural / cosmetic / functional impairment defined</t>
  </si>
  <si>
    <t xml:space="preserve">Rubric used 'structural' without defining it</t>
  </si>
  <si>
    <t xml:space="preserve">Fair = functional impairment, OR 3+ structural flaws, OR stated need for repair</t>
  </si>
  <si>
    <t xml:space="preserve">Rubric defined Fair two contradictory ways</t>
  </si>
  <si>
    <t xml:space="preserve">Rejected: '5 or more marks = Good' → 'more than 5'</t>
  </si>
  <si>
    <t xml:space="preserve">Proposed only to make one label right after seeing results</t>
  </si>
  <si>
    <t xml:space="preserve">Pre-registered predictions vs results</t>
  </si>
  <si>
    <t xml:space="preserve">Each prediction was committed to NOTES.md before the data it predicts existed.</t>
  </si>
  <si>
    <t xml:space="preserve">Prediction</t>
  </si>
  <si>
    <t xml:space="preserve">What I predicted</t>
  </si>
  <si>
    <t xml:space="preserve">Result</t>
  </si>
  <si>
    <t xml:space="preserve">Status</t>
  </si>
  <si>
    <t xml:space="preserve">P1 — who writes the copy</t>
  </si>
  <si>
    <t xml:space="preserve">Staff-written listings agree ≥10 pts higher than seller-written</t>
  </si>
  <si>
    <t xml:space="preserve">Not run</t>
  </si>
  <si>
    <t xml:space="preserve">Untested</t>
  </si>
  <si>
    <t xml:space="preserve">P1b — evidence density</t>
  </si>
  <si>
    <t xml:space="preserve">Detailed listings agree more than sparse ones, by more than the P1 gap</t>
  </si>
  <si>
    <t xml:space="preserve">P2 — direction of skew</t>
  </si>
  <si>
    <t xml:space="preserve">Where models disagree, they grade more generously</t>
  </si>
  <si>
    <t xml:space="preserve">v1: Sonnet 27 vs 14, Haiku 19 vs 7, Opus 17 vs 14. v2: 20 vs 15, 19 vs 8, 13 vs 16</t>
  </si>
  <si>
    <t xml:space="preserve">Held for Sonnet &amp; Haiku; Opus balanced (v1) / slightly stricter (v2)</t>
  </si>
  <si>
    <t xml:space="preserve">P2 — worse on sparse listings</t>
  </si>
  <si>
    <t xml:space="preserve">Generous skew larger on sparse listings</t>
  </si>
  <si>
    <t xml:space="preserve">Packaging rule won't transfer</t>
  </si>
  <si>
    <t xml:space="preserve">Models will miss the category-specific Pristine rule</t>
  </si>
  <si>
    <t xml:space="preserve">Excellent→Pristine v1 8/9/4, v2 10/7/3</t>
  </si>
  <si>
    <t xml:space="preserve">Held, especially Sonnet</t>
  </si>
  <si>
    <t xml:space="preserve">Experiment — tagged agreement</t>
  </si>
  <si>
    <t xml:space="preserve">Aligned prompt raises tagged-row agreement to ~60%</t>
  </si>
  <si>
    <t xml:space="preserve">74/111 = 66.7%</t>
  </si>
  <si>
    <t xml:space="preserve">Held</t>
  </si>
  <si>
    <t xml:space="preserve">Experiment — largest gain</t>
  </si>
  <si>
    <t xml:space="preserve">Opus gains most</t>
  </si>
  <si>
    <t xml:space="preserve">Opus 6→28 of 37</t>
  </si>
  <si>
    <t xml:space="preserve">Disagreement review</t>
  </si>
  <si>
    <t xml:space="preserve">No count was written down before the review</t>
  </si>
  <si>
    <t xml:space="preserve">13 of 24 were my label errors</t>
  </si>
  <si>
    <t xml:space="preserve">Not pre-registered — reported as a finding, not a prediction</t>
  </si>
  <si>
    <t xml:space="preserve">Findings, in the order they were discovered</t>
  </si>
  <si>
    <t xml:space="preserve">#</t>
  </si>
  <si>
    <t xml:space="preserve">Finding</t>
  </si>
  <si>
    <t xml:space="preserve">Evidence</t>
  </si>
  <si>
    <t xml:space="preserve">Implication</t>
  </si>
  <si>
    <t xml:space="preserve">Brand is reliable; subcategory is noise</t>
  </si>
  <si>
    <t xml:space="preserve">Brand ~91% every run. Subcategory 20–34%.</t>
  </si>
  <si>
    <t xml:space="preserve">Subcategory was unconstrained free text. Constrain it in Week 3.</t>
  </si>
  <si>
    <t xml:space="preserve">Biggest v1 disagreement: models declining where I graded</t>
  </si>
  <si>
    <t xml:space="preserve">29 / 30 / 38 declines = 38–51% of disagreements.</t>
  </si>
  <si>
    <t xml:space="preserve">Systematic, not random.</t>
  </si>
  <si>
    <t xml:space="preserve">Spec mismatch: my rules contradicted my prompt</t>
  </si>
  <si>
    <t xml:space="preserve">37 tagged rows = 25% of set, ~two-thirds of v1 declines; tagged agreement 16–22%.</t>
  </si>
  <si>
    <t xml:space="preserve">The models followed the prompt. Contradiction was in the prompt AND the tool description.</t>
  </si>
  <si>
    <t xml:space="preserve">My Haiku hypothesis was wrong</t>
  </si>
  <si>
    <t xml:space="preserve">Haiku and Sonnet tied on tagged rows (8/37).</t>
  </si>
  <si>
    <t xml:space="preserve">Haiku's lead came from evidence-bearing rows.</t>
  </si>
  <si>
    <t xml:space="preserve">Aligning the spec fixed it (pre-registered)</t>
  </si>
  <si>
    <t xml:space="preserve">Tagged 22→68%, 22→57%, 16→76%.</t>
  </si>
  <si>
    <t xml:space="preserve">Mismatch was the cause, not difficulty.</t>
  </si>
  <si>
    <t xml:space="preserve">Regression test passed</t>
  </si>
  <si>
    <t xml:space="preserve">Untagged 58→71%, 71→78%, 62→75%; overall 49→70%, 59→73%, 51→75%.</t>
  </si>
  <si>
    <t xml:space="preserve">Old decline rule suppressed grades beyond the tagged rows.</t>
  </si>
  <si>
    <t xml:space="preserve">The fix's cost: more grading where I declined</t>
  </si>
  <si>
    <t xml:space="preserve">Sonnet 6→9 (8 as Excellent), Haiku 6→8, Opus 5→6.</t>
  </si>
  <si>
    <t xml:space="preserve">v2 errs slightly toward overconfidence — the costlier mistake.</t>
  </si>
  <si>
    <t xml:space="preserve">None of the 24 'all wrong' rows was a clean model error</t>
  </si>
  <si>
    <t xml:space="preserve">13 label error, 6 rubric gap, 5 spec mismatch.</t>
  </si>
  <si>
    <t xml:space="preserve">Remaining disagreement was mostly me and my spec.</t>
  </si>
  <si>
    <t xml:space="preserve">Model consensus is only a modest hint of label error</t>
  </si>
  <si>
    <t xml:space="preserve">10 of 17 consensus rows were label errors vs 3 of 7 split rows (59% vs 43%).</t>
  </si>
  <si>
    <t xml:space="preserve">Too few rows to rely on. Re-check every disagreement, not just consensus ones.</t>
  </si>
  <si>
    <t xml:space="preserve">Six of 24 hinged on the title</t>
  </si>
  <si>
    <t xml:space="preserve">L034, L065, L068, L070, L071 ("w/ Tags") and L123 ("Excellent Condition") put the deciding fact in the title, which I under-read.</t>
  </si>
  <si>
    <t xml:space="preserve">Read titles as evidence; check the labeling instructions say so.</t>
  </si>
  <si>
    <t xml:space="preserve">Correcting labels added 8–17 points</t>
  </si>
  <si>
    <t xml:space="preserve">v2 corrected: Sonnet 82%, Haiku 81%, Opus 87%.</t>
  </si>
  <si>
    <t xml:space="preserve">Roughly half of v2's apparent disagreement was label noise. Corrected numbers flatter models.</t>
  </si>
  <si>
    <t xml:space="preserve">Cost vs agreement</t>
  </si>
  <si>
    <t xml:space="preserve">Haiku within a few points of the top model.</t>
  </si>
  <si>
    <t xml:space="preserve">About a fifth of Opus's price. Don't rank models on 150 listings.</t>
  </si>
  <si>
    <t xml:space="preserve">Limits of these numbers, and what's next</t>
  </si>
  <si>
    <t xml:space="preserve">Type</t>
  </si>
  <si>
    <t xml:space="preserve">Item</t>
  </si>
  <si>
    <t xml:space="preserve">Caveat</t>
  </si>
  <si>
    <t xml:space="preserve">Single rater. Agreement means match with one person's rubric, which runs stricter than market labels.</t>
  </si>
  <si>
    <t xml:space="preserve">v2 was written after seeing v1 results on the same 150 listings. Guardrails held, but v2 numbers are optimistic until tested on unseen listings.</t>
  </si>
  <si>
    <t xml:space="preserve">Corrected labels were changed after seeing model output; corrected scores flatter the models (Opus most). Original labels stay the headline.</t>
  </si>
  <si>
    <t xml:space="preserve">v2 changed the prompt and tool description together; their separate effects can't be measured.</t>
  </si>
  <si>
    <t xml:space="preserve">One run per model per prompt. Large shifts are robust; gaps of a few listings between models are not.</t>
  </si>
  <si>
    <t xml:space="preserve">Only the 24 rows all three models missed were reviewed; single-model errors were not.</t>
  </si>
  <si>
    <t xml:space="preserve">Blind re-label: recognition wasn't recorded; intra-rater comparison against Week 1 grades not yet run.</t>
  </si>
  <si>
    <t xml:space="preserve">Next</t>
  </si>
  <si>
    <t xml:space="preserve">Week 3: v3 prompt aligned with packaging, tags, conflicting-statements and Fair rules — ideally generated from rubric.md so prompt and rubric can't drift.</t>
  </si>
  <si>
    <t xml:space="preserve">Week 3: run v3 on 5,000 unseen listings; rerun these 150 as the regression check.</t>
  </si>
  <si>
    <t xml:space="preserve">Fix retry logic: don't retry permanent errors (e.g. 400 out-of-credits).</t>
  </si>
  <si>
    <t xml:space="preserve">Optional</t>
  </si>
  <si>
    <t xml:space="preserve">Platform and evidence-density slices (P1, P1b); blind re-label vs Week 1 comparison.</t>
  </si>
  <si>
    <t xml:space="preserve">Condition tier confusion matrices — v1 prompt, original labels (150 listings)</t>
  </si>
  <si>
    <t xml:space="preserve">Rows = my label; columns = model. Green diagonal = agreement. Left of diagonal = model more generous; right = stricter.</t>
  </si>
  <si>
    <t xml:space="preserve">Sonnet 5 — v1 prompt, original labels</t>
  </si>
  <si>
    <t xml:space="preserve">You ↓ / Model →</t>
  </si>
  <si>
    <t xml:space="preserve">Pristine</t>
  </si>
  <si>
    <t xml:space="preserve">Excellent</t>
  </si>
  <si>
    <t xml:space="preserve">Very Good</t>
  </si>
  <si>
    <t xml:space="preserve">Good</t>
  </si>
  <si>
    <t xml:space="preserve">Fair</t>
  </si>
  <si>
    <t xml:space="preserve">Insufficient</t>
  </si>
  <si>
    <t xml:space="preserve">Row total</t>
  </si>
  <si>
    <t xml:space="preserve">Column total</t>
  </si>
  <si>
    <t xml:space="preserve">Total check</t>
  </si>
  <si>
    <t xml:space="preserve">Haiku 4.5 — v1 prompt, original labels</t>
  </si>
  <si>
    <t xml:space="preserve">Opus 5 — v1 prompt, original labels</t>
  </si>
  <si>
    <t xml:space="preserve">Condition tier confusion matrices — v2 prompt, original labels (150 listings)</t>
  </si>
  <si>
    <t xml:space="preserve">Sonnet 5 — v2 prompt, original labels</t>
  </si>
  <si>
    <t xml:space="preserve">Haiku 4.5 — v2 prompt, original labels</t>
  </si>
  <si>
    <t xml:space="preserve">Opus 5 — v2 prompt, original labels</t>
  </si>
  <si>
    <t xml:space="preserve">Condition tier confusion matrices — v1 prompt, corrected labels (150 listings)</t>
  </si>
  <si>
    <t xml:space="preserve">Corrected labels = after the 9 Oct disagreement review and rubric amendments (29 rows changed). Changes were informed by model output, so these numbers flatter the models.</t>
  </si>
  <si>
    <t xml:space="preserve">Sonnet 5 — v1 prompt, corrected labels</t>
  </si>
  <si>
    <t xml:space="preserve">Haiku 4.5 — v1 prompt, corrected labels</t>
  </si>
  <si>
    <t xml:space="preserve">Opus 5 — v1 prompt, corrected labels</t>
  </si>
  <si>
    <t xml:space="preserve">Condition tier confusion matrices — v2 prompt, corrected labels (150 listings)</t>
  </si>
  <si>
    <t xml:space="preserve">Sonnet 5 — v2 prompt, corrected labels</t>
  </si>
  <si>
    <t xml:space="preserve">Haiku 4.5 — v2 prompt, corrected labels</t>
  </si>
  <si>
    <t xml:space="preserve">Opus 5 — v2 prompt, corrected labels</t>
  </si>
  <si>
    <t xml:space="preserve">v2 experiment — the 37 'claim without evidence' rows only (original labels)</t>
  </si>
  <si>
    <t xml:space="preserve">Sonnet 5 — v2, tagged 37</t>
  </si>
  <si>
    <t xml:space="preserve">Haiku 4.5 — v2, tagged 37</t>
  </si>
  <si>
    <t xml:space="preserve">Opus 5 — v2, tagged 37</t>
  </si>
  <si>
    <t xml:space="preserve">Week 1 baseline (Sonnet 5, 30 listings, original prompt)</t>
  </si>
  <si>
    <t xml:space="preserve">Measure</t>
  </si>
  <si>
    <t xml:space="preserve">Matches</t>
  </si>
  <si>
    <t xml:space="preserve">Denominator</t>
  </si>
  <si>
    <t xml:space="preserve">Agreement</t>
  </si>
  <si>
    <t xml:space="preserve">All graded listings</t>
  </si>
  <si>
    <t xml:space="preserve">Both assigned a real tier</t>
  </si>
  <si>
    <t xml:space="preserve">Not like-for-like: Week 2 adds the full rubric to the prompt, cleaner labels, and 150 listings instead of 30.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</si>
</sst>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+0.0"/>
    <numFmt numFmtId="167" formatCode="General"/>
    <numFmt numFmtId="168" formatCode="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18"/>
    <col collapsed="false" customWidth="true" hidden="false" outlineLevel="0" max="13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f aca="false">('V1 Matrices'!B7+'V1 Matrices'!C8+'V1 Matrices'!D9+'V1 Matrices'!E10+'V1 Matrices'!F11+'V1 Matrices'!G12)/150</f>
        <v>0.493333333333333</v>
      </c>
      <c r="C6" s="7" t="n">
        <f aca="false">('V1 Corrected'!B7+'V1 Corrected'!C8+'V1 Corrected'!D9+'V1 Corrected'!E10+'V1 Corrected'!F11+'V1 Corrected'!G12)/150</f>
        <v>0.573333333333333</v>
      </c>
      <c r="D6" s="6" t="n">
        <f aca="false">('V2 Matrices'!B7+'V2 Matrices'!C8+'V2 Matrices'!D9+'V2 Matrices'!E10+'V2 Matrices'!F11+'V2 Matrices'!G12)/150</f>
        <v>0.7</v>
      </c>
      <c r="E6" s="7" t="n">
        <f aca="false">('V2 Corrected'!B7+'V2 Corrected'!C8+'V2 Corrected'!D9+'V2 Corrected'!E10+'V2 Corrected'!F11+'V2 Corrected'!G12)/150</f>
        <v>0.82</v>
      </c>
      <c r="F6" s="8" t="n">
        <f aca="false">(C6-B6)*100</f>
        <v>8</v>
      </c>
      <c r="G6" s="8" t="n">
        <f aca="false">(E6-D6)*100</f>
        <v>12</v>
      </c>
      <c r="H6" s="9" t="s">
        <v>12</v>
      </c>
    </row>
    <row r="7" customFormat="false" ht="15" hidden="false" customHeight="false" outlineLevel="0" collapsed="false">
      <c r="A7" s="5" t="s">
        <v>13</v>
      </c>
      <c r="B7" s="6" t="n">
        <f aca="false">('V1 Matrices'!B18+'V1 Matrices'!C19+'V1 Matrices'!D20+'V1 Matrices'!E21+'V1 Matrices'!F22+'V1 Matrices'!G23)/150</f>
        <v>0.586666666666667</v>
      </c>
      <c r="C7" s="7" t="n">
        <f aca="false">('V1 Corrected'!B18+'V1 Corrected'!C19+'V1 Corrected'!D20+'V1 Corrected'!E21+'V1 Corrected'!F22+'V1 Corrected'!G23)/150</f>
        <v>0.653333333333333</v>
      </c>
      <c r="D7" s="6" t="n">
        <f aca="false">('V2 Matrices'!B18+'V2 Matrices'!C19+'V2 Matrices'!D20+'V2 Matrices'!E21+'V2 Matrices'!F22+'V2 Matrices'!G23)/150</f>
        <v>0.726666666666667</v>
      </c>
      <c r="E7" s="7" t="n">
        <f aca="false">('V2 Corrected'!B18+'V2 Corrected'!C19+'V2 Corrected'!D20+'V2 Corrected'!E21+'V2 Corrected'!F22+'V2 Corrected'!G23)/150</f>
        <v>0.813333333333333</v>
      </c>
      <c r="F7" s="8" t="n">
        <f aca="false">(C7-B7)*100</f>
        <v>6.66666666666667</v>
      </c>
      <c r="G7" s="8" t="n">
        <f aca="false">(E7-D7)*100</f>
        <v>8.66666666666667</v>
      </c>
      <c r="H7" s="9" t="s">
        <v>14</v>
      </c>
    </row>
    <row r="8" customFormat="false" ht="15" hidden="false" customHeight="false" outlineLevel="0" collapsed="false">
      <c r="A8" s="5" t="s">
        <v>15</v>
      </c>
      <c r="B8" s="6" t="n">
        <f aca="false">('V1 Matrices'!B29+'V1 Matrices'!C30+'V1 Matrices'!D31+'V1 Matrices'!E32+'V1 Matrices'!F33+'V1 Matrices'!G34)/150</f>
        <v>0.506666666666667</v>
      </c>
      <c r="C8" s="7" t="n">
        <f aca="false">('V1 Corrected'!B29+'V1 Corrected'!C30+'V1 Corrected'!D31+'V1 Corrected'!E32+'V1 Corrected'!F33+'V1 Corrected'!G34)/150</f>
        <v>0.62</v>
      </c>
      <c r="D8" s="6" t="n">
        <f aca="false">('V2 Matrices'!B29+'V2 Matrices'!C30+'V2 Matrices'!D31+'V2 Matrices'!E32+'V2 Matrices'!F33+'V2 Matrices'!G34)/150</f>
        <v>0.753333333333333</v>
      </c>
      <c r="E8" s="7" t="n">
        <f aca="false">('V2 Corrected'!B29+'V2 Corrected'!C30+'V2 Corrected'!D31+'V2 Corrected'!E32+'V2 Corrected'!F33+'V2 Corrected'!G34)/150</f>
        <v>0.866666666666667</v>
      </c>
      <c r="F8" s="8" t="n">
        <f aca="false">(C8-B8)*100</f>
        <v>11.3333333333333</v>
      </c>
      <c r="G8" s="8" t="n">
        <f aca="false">(E8-D8)*100</f>
        <v>11.3333333333333</v>
      </c>
      <c r="H8" s="9" t="s">
        <v>16</v>
      </c>
    </row>
    <row r="9" customFormat="false" ht="15" hidden="false" customHeight="false" outlineLevel="0" collapsed="false">
      <c r="A9" s="2" t="s">
        <v>17</v>
      </c>
    </row>
    <row r="11" customFormat="false" ht="15" hidden="false" customHeight="false" outlineLevel="0" collapsed="false">
      <c r="A11" s="3" t="s">
        <v>18</v>
      </c>
    </row>
    <row r="12" customFormat="false" ht="26.85" hidden="false" customHeight="false" outlineLevel="0" collapsed="false">
      <c r="A12" s="4" t="s">
        <v>3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</row>
    <row r="13" customFormat="false" ht="15" hidden="false" customHeight="false" outlineLevel="0" collapsed="false">
      <c r="A13" s="5" t="s">
        <v>11</v>
      </c>
      <c r="B13" s="10" t="s">
        <v>26</v>
      </c>
      <c r="C13" s="9" t="n">
        <v>137</v>
      </c>
      <c r="D13" s="9" t="n">
        <v>51</v>
      </c>
      <c r="E13" s="11" t="n">
        <f aca="false">'V1 Matrices'!B7+'V1 Matrices'!C8+'V1 Matrices'!D9+'V1 Matrices'!E10+'V1 Matrices'!F11+'V1 Matrices'!G12</f>
        <v>74</v>
      </c>
      <c r="F13" s="12" t="n">
        <f aca="false">C13/150</f>
        <v>0.913333333333333</v>
      </c>
      <c r="G13" s="12" t="n">
        <f aca="false">D13/150</f>
        <v>0.34</v>
      </c>
      <c r="H13" s="12" t="n">
        <f aca="false">E13/150</f>
        <v>0.493333333333333</v>
      </c>
    </row>
    <row r="14" customFormat="false" ht="15" hidden="false" customHeight="false" outlineLevel="0" collapsed="false">
      <c r="A14" s="13" t="s">
        <v>11</v>
      </c>
      <c r="B14" s="14" t="s">
        <v>27</v>
      </c>
      <c r="C14" s="15" t="n">
        <v>136</v>
      </c>
      <c r="D14" s="15" t="n">
        <v>49</v>
      </c>
      <c r="E14" s="16" t="n">
        <f aca="false">'V2 Matrices'!B7+'V2 Matrices'!C8+'V2 Matrices'!D9+'V2 Matrices'!E10+'V2 Matrices'!F11+'V2 Matrices'!G12</f>
        <v>105</v>
      </c>
      <c r="F14" s="17" t="n">
        <f aca="false">C14/150</f>
        <v>0.906666666666667</v>
      </c>
      <c r="G14" s="17" t="n">
        <f aca="false">D14/150</f>
        <v>0.326666666666667</v>
      </c>
      <c r="H14" s="17" t="n">
        <f aca="false">E14/150</f>
        <v>0.7</v>
      </c>
    </row>
    <row r="15" customFormat="false" ht="15" hidden="false" customHeight="false" outlineLevel="0" collapsed="false">
      <c r="A15" s="5" t="s">
        <v>13</v>
      </c>
      <c r="B15" s="10" t="s">
        <v>26</v>
      </c>
      <c r="C15" s="9" t="n">
        <v>136</v>
      </c>
      <c r="D15" s="9" t="n">
        <v>48</v>
      </c>
      <c r="E15" s="11" t="n">
        <f aca="false">'V1 Matrices'!B18+'V1 Matrices'!C19+'V1 Matrices'!D20+'V1 Matrices'!E21+'V1 Matrices'!F22+'V1 Matrices'!G23</f>
        <v>88</v>
      </c>
      <c r="F15" s="12" t="n">
        <f aca="false">C15/150</f>
        <v>0.906666666666667</v>
      </c>
      <c r="G15" s="12" t="n">
        <f aca="false">D15/150</f>
        <v>0.32</v>
      </c>
      <c r="H15" s="12" t="n">
        <f aca="false">E15/150</f>
        <v>0.586666666666667</v>
      </c>
    </row>
    <row r="16" customFormat="false" ht="15" hidden="false" customHeight="false" outlineLevel="0" collapsed="false">
      <c r="A16" s="13" t="s">
        <v>13</v>
      </c>
      <c r="B16" s="14" t="s">
        <v>27</v>
      </c>
      <c r="C16" s="15" t="n">
        <v>136</v>
      </c>
      <c r="D16" s="15" t="n">
        <v>48</v>
      </c>
      <c r="E16" s="16" t="n">
        <f aca="false">'V2 Matrices'!B18+'V2 Matrices'!C19+'V2 Matrices'!D20+'V2 Matrices'!E21+'V2 Matrices'!F22+'V2 Matrices'!G23</f>
        <v>109</v>
      </c>
      <c r="F16" s="17" t="n">
        <f aca="false">C16/150</f>
        <v>0.906666666666667</v>
      </c>
      <c r="G16" s="17" t="n">
        <f aca="false">D16/150</f>
        <v>0.32</v>
      </c>
      <c r="H16" s="17" t="n">
        <f aca="false">E16/150</f>
        <v>0.726666666666667</v>
      </c>
    </row>
    <row r="17" customFormat="false" ht="15" hidden="false" customHeight="false" outlineLevel="0" collapsed="false">
      <c r="A17" s="5" t="s">
        <v>15</v>
      </c>
      <c r="B17" s="10" t="s">
        <v>26</v>
      </c>
      <c r="C17" s="9" t="n">
        <v>136</v>
      </c>
      <c r="D17" s="9" t="n">
        <v>30</v>
      </c>
      <c r="E17" s="11" t="n">
        <f aca="false">'V1 Matrices'!B29+'V1 Matrices'!C30+'V1 Matrices'!D31+'V1 Matrices'!E32+'V1 Matrices'!F33+'V1 Matrices'!G34</f>
        <v>76</v>
      </c>
      <c r="F17" s="12" t="n">
        <f aca="false">C17/150</f>
        <v>0.906666666666667</v>
      </c>
      <c r="G17" s="12" t="n">
        <f aca="false">D17/150</f>
        <v>0.2</v>
      </c>
      <c r="H17" s="12" t="n">
        <f aca="false">E17/150</f>
        <v>0.506666666666667</v>
      </c>
    </row>
    <row r="18" customFormat="false" ht="15" hidden="false" customHeight="false" outlineLevel="0" collapsed="false">
      <c r="A18" s="13" t="s">
        <v>15</v>
      </c>
      <c r="B18" s="14" t="s">
        <v>27</v>
      </c>
      <c r="C18" s="15" t="n">
        <v>134</v>
      </c>
      <c r="D18" s="15" t="n">
        <v>33</v>
      </c>
      <c r="E18" s="16" t="n">
        <f aca="false">'V2 Matrices'!B29+'V2 Matrices'!C30+'V2 Matrices'!D31+'V2 Matrices'!E32+'V2 Matrices'!F33+'V2 Matrices'!G34</f>
        <v>113</v>
      </c>
      <c r="F18" s="17" t="n">
        <f aca="false">C18/150</f>
        <v>0.893333333333333</v>
      </c>
      <c r="G18" s="17" t="n">
        <f aca="false">D18/150</f>
        <v>0.22</v>
      </c>
      <c r="H18" s="17" t="n">
        <f aca="false">E18/150</f>
        <v>0.753333333333333</v>
      </c>
    </row>
    <row r="19" customFormat="false" ht="15" hidden="false" customHeight="false" outlineLevel="0" collapsed="false">
      <c r="A19" s="2" t="s">
        <v>28</v>
      </c>
    </row>
    <row r="21" customFormat="false" ht="15" hidden="false" customHeight="false" outlineLevel="0" collapsed="false">
      <c r="A21" s="3" t="s">
        <v>29</v>
      </c>
    </row>
    <row r="22" customFormat="false" ht="26.85" hidden="false" customHeight="false" outlineLevel="0" collapsed="false">
      <c r="A22" s="4" t="s">
        <v>30</v>
      </c>
      <c r="B22" s="4" t="s">
        <v>31</v>
      </c>
      <c r="C22" s="4" t="s">
        <v>32</v>
      </c>
      <c r="D22" s="4" t="s">
        <v>33</v>
      </c>
      <c r="E22" s="4" t="s">
        <v>34</v>
      </c>
      <c r="F22" s="4" t="s">
        <v>35</v>
      </c>
      <c r="G22" s="4" t="s">
        <v>36</v>
      </c>
      <c r="H22" s="4" t="s">
        <v>37</v>
      </c>
      <c r="I22" s="4" t="s">
        <v>38</v>
      </c>
      <c r="J22" s="4" t="s">
        <v>39</v>
      </c>
      <c r="K22" s="4" t="s">
        <v>40</v>
      </c>
      <c r="L22" s="4" t="s">
        <v>41</v>
      </c>
      <c r="M22" s="4" t="s">
        <v>42</v>
      </c>
    </row>
    <row r="23" customFormat="false" ht="15" hidden="false" customHeight="false" outlineLevel="0" collapsed="false">
      <c r="A23" s="5" t="s">
        <v>43</v>
      </c>
      <c r="B23" s="18" t="n">
        <f aca="false">'V1 Matrices'!B7+'V1 Matrices'!C8+'V1 Matrices'!D9+'V1 Matrices'!E10+'V1 Matrices'!F11+'V1 Matrices'!G12</f>
        <v>74</v>
      </c>
      <c r="C23" s="19" t="n">
        <f aca="false">'V1 Corrected'!B7+'V1 Corrected'!C8+'V1 Corrected'!D9+'V1 Corrected'!E10+'V1 Corrected'!F11+'V1 Corrected'!G12</f>
        <v>86</v>
      </c>
      <c r="D23" s="20" t="n">
        <f aca="false">'V2 Matrices'!B7+'V2 Matrices'!C8+'V2 Matrices'!D9+'V2 Matrices'!E10+'V2 Matrices'!F11+'V2 Matrices'!G12</f>
        <v>105</v>
      </c>
      <c r="E23" s="19" t="n">
        <f aca="false">'V2 Corrected'!B7+'V2 Corrected'!C8+'V2 Corrected'!D9+'V2 Corrected'!E10+'V2 Corrected'!F11+'V2 Corrected'!G12</f>
        <v>123</v>
      </c>
      <c r="F23" s="18" t="n">
        <f aca="false">'V1 Matrices'!B18+'V1 Matrices'!C19+'V1 Matrices'!D20+'V1 Matrices'!E21+'V1 Matrices'!F22+'V1 Matrices'!G23</f>
        <v>88</v>
      </c>
      <c r="G23" s="19" t="n">
        <f aca="false">'V1 Corrected'!B18+'V1 Corrected'!C19+'V1 Corrected'!D20+'V1 Corrected'!E21+'V1 Corrected'!F22+'V1 Corrected'!G23</f>
        <v>98</v>
      </c>
      <c r="H23" s="20" t="n">
        <f aca="false">'V2 Matrices'!B18+'V2 Matrices'!C19+'V2 Matrices'!D20+'V2 Matrices'!E21+'V2 Matrices'!F22+'V2 Matrices'!G23</f>
        <v>109</v>
      </c>
      <c r="I23" s="19" t="n">
        <f aca="false">'V2 Corrected'!B18+'V2 Corrected'!C19+'V2 Corrected'!D20+'V2 Corrected'!E21+'V2 Corrected'!F22+'V2 Corrected'!G23</f>
        <v>122</v>
      </c>
      <c r="J23" s="18" t="n">
        <f aca="false">'V1 Matrices'!B29+'V1 Matrices'!C30+'V1 Matrices'!D31+'V1 Matrices'!E32+'V1 Matrices'!F33+'V1 Matrices'!G34</f>
        <v>76</v>
      </c>
      <c r="K23" s="19" t="n">
        <f aca="false">'V1 Corrected'!B29+'V1 Corrected'!C30+'V1 Corrected'!D31+'V1 Corrected'!E32+'V1 Corrected'!F33+'V1 Corrected'!G34</f>
        <v>93</v>
      </c>
      <c r="L23" s="20" t="n">
        <f aca="false">'V2 Matrices'!B29+'V2 Matrices'!C30+'V2 Matrices'!D31+'V2 Matrices'!E32+'V2 Matrices'!F33+'V2 Matrices'!G34</f>
        <v>113</v>
      </c>
      <c r="M23" s="19" t="n">
        <f aca="false">'V2 Corrected'!B29+'V2 Corrected'!C30+'V2 Corrected'!D31+'V2 Corrected'!E32+'V2 Corrected'!F33+'V2 Corrected'!G34</f>
        <v>130</v>
      </c>
    </row>
    <row r="24" customFormat="false" ht="15" hidden="false" customHeight="false" outlineLevel="0" collapsed="false">
      <c r="A24" s="5" t="s">
        <v>44</v>
      </c>
      <c r="B24" s="12" t="n">
        <f aca="false">B23/150</f>
        <v>0.493333333333333</v>
      </c>
      <c r="C24" s="21" t="n">
        <f aca="false">C23/150</f>
        <v>0.573333333333333</v>
      </c>
      <c r="D24" s="17" t="n">
        <f aca="false">D23/150</f>
        <v>0.7</v>
      </c>
      <c r="E24" s="21" t="n">
        <f aca="false">E23/150</f>
        <v>0.82</v>
      </c>
      <c r="F24" s="12" t="n">
        <f aca="false">F23/150</f>
        <v>0.586666666666667</v>
      </c>
      <c r="G24" s="21" t="n">
        <f aca="false">G23/150</f>
        <v>0.653333333333333</v>
      </c>
      <c r="H24" s="17" t="n">
        <f aca="false">H23/150</f>
        <v>0.726666666666667</v>
      </c>
      <c r="I24" s="21" t="n">
        <f aca="false">I23/150</f>
        <v>0.813333333333333</v>
      </c>
      <c r="J24" s="12" t="n">
        <f aca="false">J23/150</f>
        <v>0.506666666666667</v>
      </c>
      <c r="K24" s="21" t="n">
        <f aca="false">K23/150</f>
        <v>0.62</v>
      </c>
      <c r="L24" s="17" t="n">
        <f aca="false">L23/150</f>
        <v>0.753333333333333</v>
      </c>
      <c r="M24" s="21" t="n">
        <f aca="false">M23/150</f>
        <v>0.866666666666667</v>
      </c>
    </row>
    <row r="25" customFormat="false" ht="15" hidden="false" customHeight="false" outlineLevel="0" collapsed="false">
      <c r="A25" s="5" t="s">
        <v>45</v>
      </c>
      <c r="B25" s="18" t="n">
        <f aca="false">SUM('V1 Matrices'!G7:G11)</f>
        <v>29</v>
      </c>
      <c r="C25" s="19" t="n">
        <f aca="false">SUM('V1 Corrected'!G7:G11)</f>
        <v>29</v>
      </c>
      <c r="D25" s="20" t="n">
        <f aca="false">SUM('V2 Matrices'!G7:G11)</f>
        <v>1</v>
      </c>
      <c r="E25" s="19" t="n">
        <f aca="false">SUM('V2 Corrected'!G7:G11)</f>
        <v>0</v>
      </c>
      <c r="F25" s="18" t="n">
        <f aca="false">SUM('V1 Matrices'!G18:G22)</f>
        <v>30</v>
      </c>
      <c r="G25" s="19" t="n">
        <f aca="false">SUM('V1 Corrected'!G18:G22)</f>
        <v>29</v>
      </c>
      <c r="H25" s="20" t="n">
        <f aca="false">SUM('V2 Matrices'!G18:G22)</f>
        <v>6</v>
      </c>
      <c r="I25" s="19" t="n">
        <f aca="false">SUM('V2 Corrected'!G18:G22)</f>
        <v>5</v>
      </c>
      <c r="J25" s="18" t="n">
        <f aca="false">SUM('V1 Matrices'!G29:G33)</f>
        <v>38</v>
      </c>
      <c r="K25" s="19" t="n">
        <f aca="false">SUM('V1 Corrected'!G29:G33)</f>
        <v>37</v>
      </c>
      <c r="L25" s="20" t="n">
        <f aca="false">SUM('V2 Matrices'!G29:G33)</f>
        <v>2</v>
      </c>
      <c r="M25" s="19" t="n">
        <f aca="false">SUM('V2 Corrected'!G29:G33)</f>
        <v>0</v>
      </c>
    </row>
    <row r="26" customFormat="false" ht="15" hidden="false" customHeight="false" outlineLevel="0" collapsed="false">
      <c r="A26" s="5" t="s">
        <v>46</v>
      </c>
      <c r="B26" s="18" t="n">
        <f aca="false">SUM('V1 Matrices'!B12:F12)</f>
        <v>6</v>
      </c>
      <c r="C26" s="19" t="n">
        <f aca="false">SUM('V1 Corrected'!B12:F12)</f>
        <v>2</v>
      </c>
      <c r="D26" s="20" t="n">
        <f aca="false">SUM('V2 Matrices'!B12:F12)</f>
        <v>9</v>
      </c>
      <c r="E26" s="19" t="n">
        <f aca="false">SUM('V2 Corrected'!B12:F12)</f>
        <v>4</v>
      </c>
      <c r="F26" s="18" t="n">
        <f aca="false">SUM('V1 Matrices'!B23:F23)</f>
        <v>6</v>
      </c>
      <c r="G26" s="19" t="n">
        <f aca="false">SUM('V1 Corrected'!B23:F23)</f>
        <v>1</v>
      </c>
      <c r="H26" s="20" t="n">
        <f aca="false">SUM('V2 Matrices'!B23:F23)</f>
        <v>8</v>
      </c>
      <c r="I26" s="19" t="n">
        <f aca="false">SUM('V2 Corrected'!B23:F23)</f>
        <v>3</v>
      </c>
      <c r="J26" s="18" t="n">
        <f aca="false">SUM('V1 Matrices'!B34:F34)</f>
        <v>5</v>
      </c>
      <c r="K26" s="19" t="n">
        <f aca="false">SUM('V1 Corrected'!B34:F34)</f>
        <v>0</v>
      </c>
      <c r="L26" s="20" t="n">
        <f aca="false">SUM('V2 Matrices'!B34:F34)</f>
        <v>6</v>
      </c>
      <c r="M26" s="19" t="n">
        <f aca="false">SUM('V2 Corrected'!B34:F34)</f>
        <v>0</v>
      </c>
    </row>
    <row r="27" customFormat="false" ht="15" hidden="false" customHeight="false" outlineLevel="0" collapsed="false">
      <c r="A27" s="5" t="s">
        <v>47</v>
      </c>
      <c r="B27" s="18" t="n">
        <f aca="false">'V1 Matrices'!G12</f>
        <v>27</v>
      </c>
      <c r="C27" s="19" t="n">
        <f aca="false">'V1 Corrected'!G12</f>
        <v>27</v>
      </c>
      <c r="D27" s="20" t="n">
        <f aca="false">'V2 Matrices'!G12</f>
        <v>24</v>
      </c>
      <c r="E27" s="19" t="n">
        <f aca="false">'V2 Corrected'!G12</f>
        <v>25</v>
      </c>
      <c r="F27" s="18" t="n">
        <f aca="false">'V1 Matrices'!G23</f>
        <v>27</v>
      </c>
      <c r="G27" s="19" t="n">
        <f aca="false">'V1 Corrected'!G23</f>
        <v>28</v>
      </c>
      <c r="H27" s="20" t="n">
        <f aca="false">'V2 Matrices'!G23</f>
        <v>25</v>
      </c>
      <c r="I27" s="19" t="n">
        <f aca="false">'V2 Corrected'!G23</f>
        <v>26</v>
      </c>
      <c r="J27" s="18" t="n">
        <f aca="false">'V1 Matrices'!G34</f>
        <v>28</v>
      </c>
      <c r="K27" s="19" t="n">
        <f aca="false">'V1 Corrected'!G34</f>
        <v>29</v>
      </c>
      <c r="L27" s="20" t="n">
        <f aca="false">'V2 Matrices'!G34</f>
        <v>27</v>
      </c>
      <c r="M27" s="19" t="n">
        <f aca="false">'V2 Corrected'!G34</f>
        <v>29</v>
      </c>
    </row>
    <row r="28" customFormat="false" ht="15" hidden="false" customHeight="false" outlineLevel="0" collapsed="false">
      <c r="A28" s="5" t="s">
        <v>48</v>
      </c>
      <c r="B28" s="22" t="n">
        <f aca="false">150-B25-B26-B27</f>
        <v>88</v>
      </c>
      <c r="C28" s="23" t="n">
        <f aca="false">150-C25-C26-C27</f>
        <v>92</v>
      </c>
      <c r="D28" s="24" t="n">
        <f aca="false">150-D25-D26-D27</f>
        <v>116</v>
      </c>
      <c r="E28" s="23" t="n">
        <f aca="false">150-E25-E26-E27</f>
        <v>121</v>
      </c>
      <c r="F28" s="22" t="n">
        <f aca="false">150-F25-F26-F27</f>
        <v>87</v>
      </c>
      <c r="G28" s="23" t="n">
        <f aca="false">150-G25-G26-G27</f>
        <v>92</v>
      </c>
      <c r="H28" s="24" t="n">
        <f aca="false">150-H25-H26-H27</f>
        <v>111</v>
      </c>
      <c r="I28" s="23" t="n">
        <f aca="false">150-I25-I26-I27</f>
        <v>116</v>
      </c>
      <c r="J28" s="22" t="n">
        <f aca="false">150-J25-J26-J27</f>
        <v>79</v>
      </c>
      <c r="K28" s="23" t="n">
        <f aca="false">150-K25-K26-K27</f>
        <v>84</v>
      </c>
      <c r="L28" s="24" t="n">
        <f aca="false">150-L25-L26-L27</f>
        <v>115</v>
      </c>
      <c r="M28" s="23" t="n">
        <f aca="false">150-M25-M26-M27</f>
        <v>121</v>
      </c>
    </row>
    <row r="29" customFormat="false" ht="15" hidden="false" customHeight="false" outlineLevel="0" collapsed="false">
      <c r="A29" s="5" t="s">
        <v>49</v>
      </c>
      <c r="B29" s="12" t="n">
        <f aca="false">IFERROR((B23-B27)/B28,0)</f>
        <v>0.534090909090909</v>
      </c>
      <c r="C29" s="21" t="n">
        <f aca="false">IFERROR((C23-C27)/C28,0)</f>
        <v>0.641304347826087</v>
      </c>
      <c r="D29" s="17" t="n">
        <f aca="false">IFERROR((D23-D27)/D28,0)</f>
        <v>0.698275862068966</v>
      </c>
      <c r="E29" s="21" t="n">
        <f aca="false">IFERROR((E23-E27)/E28,0)</f>
        <v>0.809917355371901</v>
      </c>
      <c r="F29" s="12" t="n">
        <f aca="false">IFERROR((F23-F27)/F28,0)</f>
        <v>0.701149425287356</v>
      </c>
      <c r="G29" s="21" t="n">
        <f aca="false">IFERROR((G23-G27)/G28,0)</f>
        <v>0.760869565217391</v>
      </c>
      <c r="H29" s="17" t="n">
        <f aca="false">IFERROR((H23-H27)/H28,0)</f>
        <v>0.756756756756757</v>
      </c>
      <c r="I29" s="21" t="n">
        <f aca="false">IFERROR((I23-I27)/I28,0)</f>
        <v>0.827586206896552</v>
      </c>
      <c r="J29" s="12" t="n">
        <f aca="false">IFERROR((J23-J27)/J28,0)</f>
        <v>0.607594936708861</v>
      </c>
      <c r="K29" s="21" t="n">
        <f aca="false">IFERROR((K23-K27)/K28,0)</f>
        <v>0.761904761904762</v>
      </c>
      <c r="L29" s="17" t="n">
        <f aca="false">IFERROR((L23-L27)/L28,0)</f>
        <v>0.747826086956522</v>
      </c>
      <c r="M29" s="21" t="n">
        <f aca="false">IFERROR((M23-M27)/M28,0)</f>
        <v>0.834710743801653</v>
      </c>
    </row>
    <row r="30" customFormat="false" ht="15" hidden="false" customHeight="false" outlineLevel="0" collapsed="false">
      <c r="A30" s="5" t="s">
        <v>50</v>
      </c>
      <c r="B30" s="18" t="n">
        <f aca="false">SUM('V1 Matrices'!B8,'V1 Matrices'!B9:C9,'V1 Matrices'!B10:D10,'V1 Matrices'!B11:E11)</f>
        <v>27</v>
      </c>
      <c r="C30" s="19" t="n">
        <f aca="false">SUM('V1 Corrected'!B8,'V1 Corrected'!B9:C9,'V1 Corrected'!B10:D10,'V1 Corrected'!B11:E11)</f>
        <v>23</v>
      </c>
      <c r="D30" s="20" t="n">
        <f aca="false">SUM('V2 Matrices'!B8,'V2 Matrices'!B9:C9,'V2 Matrices'!B10:D10,'V2 Matrices'!B11:E11)</f>
        <v>20</v>
      </c>
      <c r="E30" s="19" t="n">
        <f aca="false">SUM('V2 Corrected'!B8,'V2 Corrected'!B9:C9,'V2 Corrected'!B10:D10,'V2 Corrected'!B11:E11)</f>
        <v>15</v>
      </c>
      <c r="F30" s="18" t="n">
        <f aca="false">SUM('V1 Matrices'!B19,'V1 Matrices'!B20:C20,'V1 Matrices'!B21:D21,'V1 Matrices'!B22:E22)</f>
        <v>19</v>
      </c>
      <c r="G30" s="19" t="n">
        <f aca="false">SUM('V1 Corrected'!B19,'V1 Corrected'!B20:C20,'V1 Corrected'!B21:D21,'V1 Corrected'!B22:E22)</f>
        <v>20</v>
      </c>
      <c r="H30" s="20" t="n">
        <f aca="false">SUM('V2 Matrices'!B19,'V2 Matrices'!B20:C20,'V2 Matrices'!B21:D21,'V2 Matrices'!B22:E22)</f>
        <v>19</v>
      </c>
      <c r="I30" s="19" t="n">
        <f aca="false">SUM('V2 Corrected'!B19,'V2 Corrected'!B20:C20,'V2 Corrected'!B21:D21,'V2 Corrected'!B22:E22)</f>
        <v>18</v>
      </c>
      <c r="J30" s="18" t="n">
        <f aca="false">SUM('V1 Matrices'!B30,'V1 Matrices'!B31:C31,'V1 Matrices'!B32:D32,'V1 Matrices'!B33:E33)</f>
        <v>17</v>
      </c>
      <c r="K30" s="19" t="n">
        <f aca="false">SUM('V1 Corrected'!B30,'V1 Corrected'!B31:C31,'V1 Corrected'!B32:D32,'V1 Corrected'!B33:E33)</f>
        <v>13</v>
      </c>
      <c r="L30" s="20" t="n">
        <f aca="false">SUM('V2 Matrices'!B30,'V2 Matrices'!B31:C31,'V2 Matrices'!B32:D32,'V2 Matrices'!B33:E33)</f>
        <v>13</v>
      </c>
      <c r="M30" s="19" t="n">
        <f aca="false">SUM('V2 Corrected'!B30,'V2 Corrected'!B31:C31,'V2 Corrected'!B32:D32,'V2 Corrected'!B33:E33)</f>
        <v>10</v>
      </c>
    </row>
    <row r="31" customFormat="false" ht="15" hidden="false" customHeight="false" outlineLevel="0" collapsed="false">
      <c r="A31" s="5" t="s">
        <v>51</v>
      </c>
      <c r="B31" s="18" t="n">
        <f aca="false">SUM('V1 Matrices'!C7:F7,'V1 Matrices'!D8:F8,'V1 Matrices'!E9:F9,'V1 Matrices'!F10)</f>
        <v>14</v>
      </c>
      <c r="C31" s="19" t="n">
        <f aca="false">SUM('V1 Corrected'!C7:F7,'V1 Corrected'!D8:F8,'V1 Corrected'!E9:F9,'V1 Corrected'!F10)</f>
        <v>10</v>
      </c>
      <c r="D31" s="20" t="n">
        <f aca="false">SUM('V2 Matrices'!C7:F7,'V2 Matrices'!D8:F8,'V2 Matrices'!E9:F9,'V2 Matrices'!F10)</f>
        <v>15</v>
      </c>
      <c r="E31" s="19" t="n">
        <f aca="false">SUM('V2 Corrected'!C7:F7,'V2 Corrected'!D8:F8,'V2 Corrected'!E9:F9,'V2 Corrected'!F10)</f>
        <v>8</v>
      </c>
      <c r="F31" s="18" t="n">
        <f aca="false">SUM('V1 Matrices'!C18:F18,'V1 Matrices'!D19:F19,'V1 Matrices'!E20:F20,'V1 Matrices'!F21)</f>
        <v>7</v>
      </c>
      <c r="G31" s="19" t="n">
        <f aca="false">SUM('V1 Corrected'!C18:F18,'V1 Corrected'!D19:F19,'V1 Corrected'!E20:F20,'V1 Corrected'!F21)</f>
        <v>2</v>
      </c>
      <c r="H31" s="20" t="n">
        <f aca="false">SUM('V2 Matrices'!C18:F18,'V2 Matrices'!D19:F19,'V2 Matrices'!E20:F20,'V2 Matrices'!F21)</f>
        <v>8</v>
      </c>
      <c r="I31" s="19" t="n">
        <f aca="false">SUM('V2 Corrected'!C18:F18,'V2 Corrected'!D19:F19,'V2 Corrected'!E20:F20,'V2 Corrected'!F21)</f>
        <v>2</v>
      </c>
      <c r="J31" s="18" t="n">
        <f aca="false">SUM('V1 Matrices'!C29:F29,'V1 Matrices'!D30:F30,'V1 Matrices'!E31:F31,'V1 Matrices'!F32)</f>
        <v>14</v>
      </c>
      <c r="K31" s="19" t="n">
        <f aca="false">SUM('V1 Corrected'!C29:F29,'V1 Corrected'!D30:F30,'V1 Corrected'!E31:F31,'V1 Corrected'!F32)</f>
        <v>7</v>
      </c>
      <c r="L31" s="20" t="n">
        <f aca="false">SUM('V2 Matrices'!C29:F29,'V2 Matrices'!D30:F30,'V2 Matrices'!E31:F31,'V2 Matrices'!F32)</f>
        <v>16</v>
      </c>
      <c r="M31" s="19" t="n">
        <f aca="false">SUM('V2 Corrected'!C29:F29,'V2 Corrected'!D30:F30,'V2 Corrected'!E31:F31,'V2 Corrected'!F32)</f>
        <v>10</v>
      </c>
    </row>
    <row r="32" customFormat="false" ht="15" hidden="false" customHeight="false" outlineLevel="0" collapsed="false">
      <c r="A32" s="5" t="s">
        <v>52</v>
      </c>
      <c r="B32" s="12" t="n">
        <f aca="false">IFERROR(B30/(B30+B31),0)</f>
        <v>0.658536585365854</v>
      </c>
      <c r="C32" s="21" t="n">
        <f aca="false">IFERROR(C30/(C30+C31),0)</f>
        <v>0.696969696969697</v>
      </c>
      <c r="D32" s="17" t="n">
        <f aca="false">IFERROR(D30/(D30+D31),0)</f>
        <v>0.571428571428571</v>
      </c>
      <c r="E32" s="21" t="n">
        <f aca="false">IFERROR(E30/(E30+E31),0)</f>
        <v>0.652173913043478</v>
      </c>
      <c r="F32" s="12" t="n">
        <f aca="false">IFERROR(F30/(F30+F31),0)</f>
        <v>0.730769230769231</v>
      </c>
      <c r="G32" s="21" t="n">
        <f aca="false">IFERROR(G30/(G30+G31),0)</f>
        <v>0.909090909090909</v>
      </c>
      <c r="H32" s="17" t="n">
        <f aca="false">IFERROR(H30/(H30+H31),0)</f>
        <v>0.703703703703704</v>
      </c>
      <c r="I32" s="21" t="n">
        <f aca="false">IFERROR(I30/(I30+I31),0)</f>
        <v>0.9</v>
      </c>
      <c r="J32" s="12" t="n">
        <f aca="false">IFERROR(J30/(J30+J31),0)</f>
        <v>0.548387096774194</v>
      </c>
      <c r="K32" s="21" t="n">
        <f aca="false">IFERROR(K30/(K30+K31),0)</f>
        <v>0.65</v>
      </c>
      <c r="L32" s="17" t="n">
        <f aca="false">IFERROR(L30/(L30+L31),0)</f>
        <v>0.448275862068966</v>
      </c>
      <c r="M32" s="21" t="n">
        <f aca="false">IFERROR(M30/(M30+M31),0)</f>
        <v>0.5</v>
      </c>
    </row>
    <row r="33" customFormat="false" ht="15" hidden="false" customHeight="false" outlineLevel="0" collapsed="false">
      <c r="A33" s="5" t="s">
        <v>53</v>
      </c>
      <c r="B33" s="18" t="n">
        <f aca="false">'V1 Matrices'!C7+'V1 Matrices'!B8+'V1 Matrices'!D8+'V1 Matrices'!C9+'V1 Matrices'!E9+'V1 Matrices'!D10+'V1 Matrices'!F10+'V1 Matrices'!E11</f>
        <v>38</v>
      </c>
      <c r="C33" s="19" t="n">
        <f aca="false">'V1 Corrected'!C7+'V1 Corrected'!B8+'V1 Corrected'!D8+'V1 Corrected'!C9+'V1 Corrected'!E9+'V1 Corrected'!D10+'V1 Corrected'!F10+'V1 Corrected'!E11</f>
        <v>29</v>
      </c>
      <c r="D33" s="20" t="n">
        <f aca="false">'V2 Matrices'!C7+'V2 Matrices'!B8+'V2 Matrices'!D8+'V2 Matrices'!C9+'V2 Matrices'!E9+'V2 Matrices'!D10+'V2 Matrices'!F10+'V2 Matrices'!E11</f>
        <v>34</v>
      </c>
      <c r="E33" s="19" t="n">
        <f aca="false">'V2 Corrected'!C7+'V2 Corrected'!B8+'V2 Corrected'!D8+'V2 Corrected'!C9+'V2 Corrected'!E9+'V2 Corrected'!D10+'V2 Corrected'!F10+'V2 Corrected'!E11</f>
        <v>22</v>
      </c>
      <c r="F33" s="18" t="n">
        <f aca="false">'V1 Matrices'!C18+'V1 Matrices'!B19+'V1 Matrices'!D19+'V1 Matrices'!C20+'V1 Matrices'!E20+'V1 Matrices'!D21+'V1 Matrices'!F21+'V1 Matrices'!E22</f>
        <v>26</v>
      </c>
      <c r="G33" s="19" t="n">
        <f aca="false">'V1 Corrected'!C18+'V1 Corrected'!B19+'V1 Corrected'!D19+'V1 Corrected'!C20+'V1 Corrected'!E20+'V1 Corrected'!D21+'V1 Corrected'!F21+'V1 Corrected'!E22</f>
        <v>20</v>
      </c>
      <c r="H33" s="20" t="n">
        <f aca="false">'V2 Matrices'!C18+'V2 Matrices'!B19+'V2 Matrices'!D19+'V2 Matrices'!C20+'V2 Matrices'!E20+'V2 Matrices'!D21+'V2 Matrices'!F21+'V2 Matrices'!E22</f>
        <v>27</v>
      </c>
      <c r="I33" s="19" t="n">
        <f aca="false">'V2 Corrected'!C18+'V2 Corrected'!B19+'V2 Corrected'!D19+'V2 Corrected'!C20+'V2 Corrected'!E20+'V2 Corrected'!D21+'V2 Corrected'!F21+'V2 Corrected'!E22</f>
        <v>18</v>
      </c>
      <c r="J33" s="18" t="n">
        <f aca="false">'V1 Matrices'!C29+'V1 Matrices'!B30+'V1 Matrices'!D30+'V1 Matrices'!C31+'V1 Matrices'!E31+'V1 Matrices'!D32+'V1 Matrices'!F32+'V1 Matrices'!E33</f>
        <v>28</v>
      </c>
      <c r="K33" s="19" t="n">
        <f aca="false">'V1 Corrected'!C29+'V1 Corrected'!B30+'V1 Corrected'!D30+'V1 Corrected'!C31+'V1 Corrected'!E31+'V1 Corrected'!D32+'V1 Corrected'!F32+'V1 Corrected'!E33</f>
        <v>16</v>
      </c>
      <c r="L33" s="20" t="n">
        <f aca="false">'V2 Matrices'!C29+'V2 Matrices'!B30+'V2 Matrices'!D30+'V2 Matrices'!C31+'V2 Matrices'!E31+'V2 Matrices'!D32+'V2 Matrices'!F32+'V2 Matrices'!E33</f>
        <v>27</v>
      </c>
      <c r="M33" s="19" t="n">
        <f aca="false">'V2 Corrected'!C29+'V2 Corrected'!B30+'V2 Corrected'!D30+'V2 Corrected'!C31+'V2 Corrected'!E31+'V2 Corrected'!D32+'V2 Corrected'!F32+'V2 Corrected'!E33</f>
        <v>18</v>
      </c>
    </row>
    <row r="34" customFormat="false" ht="15" hidden="false" customHeight="false" outlineLevel="0" collapsed="false">
      <c r="A34" s="5" t="s">
        <v>54</v>
      </c>
      <c r="B34" s="22" t="n">
        <f aca="false">B30+B31-B33</f>
        <v>3</v>
      </c>
      <c r="C34" s="23" t="n">
        <f aca="false">C30+C31-C33</f>
        <v>4</v>
      </c>
      <c r="D34" s="24" t="n">
        <f aca="false">D30+D31-D33</f>
        <v>1</v>
      </c>
      <c r="E34" s="23" t="n">
        <f aca="false">E30+E31-E33</f>
        <v>1</v>
      </c>
      <c r="F34" s="22" t="n">
        <f aca="false">F30+F31-F33</f>
        <v>0</v>
      </c>
      <c r="G34" s="23" t="n">
        <f aca="false">G30+G31-G33</f>
        <v>2</v>
      </c>
      <c r="H34" s="24" t="n">
        <f aca="false">H30+H31-H33</f>
        <v>0</v>
      </c>
      <c r="I34" s="23" t="n">
        <f aca="false">I30+I31-I33</f>
        <v>2</v>
      </c>
      <c r="J34" s="22" t="n">
        <f aca="false">J30+J31-J33</f>
        <v>3</v>
      </c>
      <c r="K34" s="23" t="n">
        <f aca="false">K30+K31-K33</f>
        <v>4</v>
      </c>
      <c r="L34" s="24" t="n">
        <f aca="false">L30+L31-L33</f>
        <v>2</v>
      </c>
      <c r="M34" s="23" t="n">
        <f aca="false">M30+M31-M33</f>
        <v>2</v>
      </c>
    </row>
    <row r="35" customFormat="false" ht="15" hidden="false" customHeight="false" outlineLevel="0" collapsed="false">
      <c r="A35" s="5" t="s">
        <v>55</v>
      </c>
      <c r="B35" s="18" t="n">
        <f aca="false">'V1 Matrices'!B8</f>
        <v>8</v>
      </c>
      <c r="C35" s="19" t="n">
        <f aca="false">'V1 Corrected'!B8</f>
        <v>4</v>
      </c>
      <c r="D35" s="20" t="n">
        <f aca="false">'V2 Matrices'!B8</f>
        <v>10</v>
      </c>
      <c r="E35" s="19" t="n">
        <f aca="false">'V2 Corrected'!B8</f>
        <v>5</v>
      </c>
      <c r="F35" s="18" t="n">
        <f aca="false">'V1 Matrices'!B19</f>
        <v>9</v>
      </c>
      <c r="G35" s="19" t="n">
        <f aca="false">'V1 Corrected'!B19</f>
        <v>8</v>
      </c>
      <c r="H35" s="20" t="n">
        <f aca="false">'V2 Matrices'!B19</f>
        <v>7</v>
      </c>
      <c r="I35" s="19" t="n">
        <f aca="false">'V2 Corrected'!B19</f>
        <v>6</v>
      </c>
      <c r="J35" s="18" t="n">
        <f aca="false">'V1 Matrices'!B30</f>
        <v>4</v>
      </c>
      <c r="K35" s="19" t="n">
        <f aca="false">'V1 Corrected'!B30</f>
        <v>0</v>
      </c>
      <c r="L35" s="20" t="n">
        <f aca="false">'V2 Matrices'!B30</f>
        <v>3</v>
      </c>
      <c r="M35" s="19" t="n">
        <f aca="false">'V2 Corrected'!B30</f>
        <v>0</v>
      </c>
    </row>
    <row r="37" customFormat="false" ht="15" hidden="false" customHeight="false" outlineLevel="0" collapsed="false">
      <c r="A37" s="2" t="s">
        <v>56</v>
      </c>
    </row>
    <row r="39" customFormat="false" ht="15" hidden="false" customHeight="false" outlineLevel="0" collapsed="false">
      <c r="A39" s="3" t="s">
        <v>57</v>
      </c>
    </row>
    <row r="40" customFormat="false" ht="39.55" hidden="false" customHeight="false" outlineLevel="0" collapsed="false">
      <c r="A40" s="4" t="s">
        <v>3</v>
      </c>
      <c r="B40" s="4" t="s">
        <v>19</v>
      </c>
      <c r="C40" s="4" t="s">
        <v>58</v>
      </c>
      <c r="D40" s="4" t="s">
        <v>59</v>
      </c>
      <c r="E40" s="4" t="s">
        <v>60</v>
      </c>
      <c r="F40" s="4" t="s">
        <v>61</v>
      </c>
      <c r="G40" s="4" t="s">
        <v>62</v>
      </c>
      <c r="H40" s="4" t="s">
        <v>63</v>
      </c>
      <c r="I40" s="4" t="s">
        <v>64</v>
      </c>
      <c r="J40" s="4" t="s">
        <v>65</v>
      </c>
      <c r="K40" s="4" t="s">
        <v>66</v>
      </c>
      <c r="L40" s="4" t="s">
        <v>67</v>
      </c>
    </row>
    <row r="41" customFormat="false" ht="15" hidden="false" customHeight="false" outlineLevel="0" collapsed="false">
      <c r="A41" s="5" t="s">
        <v>11</v>
      </c>
      <c r="B41" s="10" t="s">
        <v>26</v>
      </c>
      <c r="C41" s="10" t="s">
        <v>68</v>
      </c>
      <c r="D41" s="9" t="n">
        <v>37</v>
      </c>
      <c r="E41" s="9" t="n">
        <v>8</v>
      </c>
      <c r="F41" s="9" t="n">
        <v>19</v>
      </c>
      <c r="G41" s="9" t="n">
        <v>113</v>
      </c>
      <c r="H41" s="9" t="n">
        <v>66</v>
      </c>
      <c r="I41" s="9" t="n">
        <v>10</v>
      </c>
      <c r="J41" s="12" t="n">
        <f aca="false">E41/D41</f>
        <v>0.216216216216216</v>
      </c>
      <c r="K41" s="12" t="n">
        <f aca="false">H41/G41</f>
        <v>0.584070796460177</v>
      </c>
      <c r="L41" s="10" t="str">
        <f aca="false">IF(E41+H41='V1 Matrices'!B7+'V1 Matrices'!C8+'V1 Matrices'!D9+'V1 Matrices'!E10+'V1 Matrices'!F11+'V1 Matrices'!G12,"OK","MISMATCH")</f>
        <v>OK</v>
      </c>
    </row>
    <row r="42" customFormat="false" ht="15" hidden="false" customHeight="false" outlineLevel="0" collapsed="false">
      <c r="A42" s="25" t="s">
        <v>11</v>
      </c>
      <c r="B42" s="26" t="s">
        <v>26</v>
      </c>
      <c r="C42" s="26" t="s">
        <v>69</v>
      </c>
      <c r="D42" s="27" t="n">
        <v>39</v>
      </c>
      <c r="E42" s="27" t="n">
        <v>10</v>
      </c>
      <c r="F42" s="27" t="n">
        <v>20</v>
      </c>
      <c r="G42" s="27" t="n">
        <v>111</v>
      </c>
      <c r="H42" s="27" t="n">
        <v>76</v>
      </c>
      <c r="I42" s="27" t="n">
        <v>9</v>
      </c>
      <c r="J42" s="21" t="n">
        <f aca="false">E42/D42</f>
        <v>0.256410256410256</v>
      </c>
      <c r="K42" s="21" t="n">
        <f aca="false">H42/G42</f>
        <v>0.684684684684685</v>
      </c>
      <c r="L42" s="26" t="str">
        <f aca="false">IF(E42+H42='V1 Corrected'!B7+'V1 Corrected'!C8+'V1 Corrected'!D9+'V1 Corrected'!E10+'V1 Corrected'!F11+'V1 Corrected'!G12,"OK","MISMATCH")</f>
        <v>OK</v>
      </c>
    </row>
    <row r="43" customFormat="false" ht="15" hidden="false" customHeight="false" outlineLevel="0" collapsed="false">
      <c r="A43" s="13" t="s">
        <v>11</v>
      </c>
      <c r="B43" s="14" t="s">
        <v>27</v>
      </c>
      <c r="C43" s="14" t="s">
        <v>68</v>
      </c>
      <c r="D43" s="15" t="n">
        <v>37</v>
      </c>
      <c r="E43" s="15" t="n">
        <v>25</v>
      </c>
      <c r="F43" s="15" t="n">
        <v>0</v>
      </c>
      <c r="G43" s="15" t="n">
        <v>113</v>
      </c>
      <c r="H43" s="15" t="n">
        <v>80</v>
      </c>
      <c r="I43" s="15" t="n">
        <v>1</v>
      </c>
      <c r="J43" s="17" t="n">
        <f aca="false">E43/D43</f>
        <v>0.675675675675676</v>
      </c>
      <c r="K43" s="17" t="n">
        <f aca="false">H43/G43</f>
        <v>0.707964601769912</v>
      </c>
      <c r="L43" s="14" t="str">
        <f aca="false">IF(E43+H43='V2 Matrices'!B7+'V2 Matrices'!C8+'V2 Matrices'!D9+'V2 Matrices'!E10+'V2 Matrices'!F11+'V2 Matrices'!G12,"OK","MISMATCH")</f>
        <v>OK</v>
      </c>
    </row>
    <row r="44" customFormat="false" ht="15" hidden="false" customHeight="false" outlineLevel="0" collapsed="false">
      <c r="A44" s="25" t="s">
        <v>11</v>
      </c>
      <c r="B44" s="26" t="s">
        <v>27</v>
      </c>
      <c r="C44" s="26" t="s">
        <v>69</v>
      </c>
      <c r="D44" s="27" t="n">
        <v>39</v>
      </c>
      <c r="E44" s="27" t="n">
        <v>31</v>
      </c>
      <c r="F44" s="27" t="n">
        <v>0</v>
      </c>
      <c r="G44" s="27" t="n">
        <v>111</v>
      </c>
      <c r="H44" s="27" t="n">
        <v>92</v>
      </c>
      <c r="I44" s="27" t="n">
        <v>0</v>
      </c>
      <c r="J44" s="21" t="n">
        <f aca="false">E44/D44</f>
        <v>0.794871794871795</v>
      </c>
      <c r="K44" s="21" t="n">
        <f aca="false">H44/G44</f>
        <v>0.828828828828829</v>
      </c>
      <c r="L44" s="26" t="str">
        <f aca="false">IF(E44+H44='V2 Corrected'!B7+'V2 Corrected'!C8+'V2 Corrected'!D9+'V2 Corrected'!E10+'V2 Corrected'!F11+'V2 Corrected'!G12,"OK","MISMATCH")</f>
        <v>OK</v>
      </c>
    </row>
    <row r="45" customFormat="false" ht="15" hidden="false" customHeight="false" outlineLevel="0" collapsed="false">
      <c r="A45" s="5" t="s">
        <v>13</v>
      </c>
      <c r="B45" s="10" t="s">
        <v>26</v>
      </c>
      <c r="C45" s="10" t="s">
        <v>68</v>
      </c>
      <c r="D45" s="9" t="n">
        <v>37</v>
      </c>
      <c r="E45" s="9" t="n">
        <v>8</v>
      </c>
      <c r="F45" s="9" t="n">
        <v>21</v>
      </c>
      <c r="G45" s="9" t="n">
        <v>113</v>
      </c>
      <c r="H45" s="9" t="n">
        <v>80</v>
      </c>
      <c r="I45" s="9" t="n">
        <v>9</v>
      </c>
      <c r="J45" s="12" t="n">
        <f aca="false">E45/D45</f>
        <v>0.216216216216216</v>
      </c>
      <c r="K45" s="12" t="n">
        <f aca="false">H45/G45</f>
        <v>0.707964601769912</v>
      </c>
      <c r="L45" s="10" t="str">
        <f aca="false">IF(E45+H45='V1 Matrices'!B18+'V1 Matrices'!C19+'V1 Matrices'!D20+'V1 Matrices'!E21+'V1 Matrices'!F22+'V1 Matrices'!G23,"OK","MISMATCH")</f>
        <v>OK</v>
      </c>
    </row>
    <row r="46" customFormat="false" ht="15" hidden="false" customHeight="false" outlineLevel="0" collapsed="false">
      <c r="A46" s="25" t="s">
        <v>13</v>
      </c>
      <c r="B46" s="26" t="s">
        <v>26</v>
      </c>
      <c r="C46" s="26" t="s">
        <v>69</v>
      </c>
      <c r="D46" s="27" t="n">
        <v>39</v>
      </c>
      <c r="E46" s="27" t="n">
        <v>10</v>
      </c>
      <c r="F46" s="27" t="n">
        <v>21</v>
      </c>
      <c r="G46" s="27" t="n">
        <v>111</v>
      </c>
      <c r="H46" s="27" t="n">
        <v>88</v>
      </c>
      <c r="I46" s="27" t="n">
        <v>8</v>
      </c>
      <c r="J46" s="21" t="n">
        <f aca="false">E46/D46</f>
        <v>0.256410256410256</v>
      </c>
      <c r="K46" s="21" t="n">
        <f aca="false">H46/G46</f>
        <v>0.792792792792793</v>
      </c>
      <c r="L46" s="26" t="str">
        <f aca="false">IF(E46+H46='V1 Corrected'!B18+'V1 Corrected'!C19+'V1 Corrected'!D20+'V1 Corrected'!E21+'V1 Corrected'!F22+'V1 Corrected'!G23,"OK","MISMATCH")</f>
        <v>OK</v>
      </c>
    </row>
    <row r="47" customFormat="false" ht="15" hidden="false" customHeight="false" outlineLevel="0" collapsed="false">
      <c r="A47" s="13" t="s">
        <v>13</v>
      </c>
      <c r="B47" s="14" t="s">
        <v>27</v>
      </c>
      <c r="C47" s="14" t="s">
        <v>68</v>
      </c>
      <c r="D47" s="15" t="n">
        <v>37</v>
      </c>
      <c r="E47" s="15" t="n">
        <v>21</v>
      </c>
      <c r="F47" s="15" t="n">
        <v>5</v>
      </c>
      <c r="G47" s="15" t="n">
        <v>113</v>
      </c>
      <c r="H47" s="15" t="n">
        <v>88</v>
      </c>
      <c r="I47" s="15" t="n">
        <v>1</v>
      </c>
      <c r="J47" s="17" t="n">
        <f aca="false">E47/D47</f>
        <v>0.567567567567568</v>
      </c>
      <c r="K47" s="17" t="n">
        <f aca="false">H47/G47</f>
        <v>0.778761061946903</v>
      </c>
      <c r="L47" s="14" t="str">
        <f aca="false">IF(E47+H47='V2 Matrices'!B18+'V2 Matrices'!C19+'V2 Matrices'!D20+'V2 Matrices'!E21+'V2 Matrices'!F22+'V2 Matrices'!G23,"OK","MISMATCH")</f>
        <v>OK</v>
      </c>
    </row>
    <row r="48" customFormat="false" ht="15" hidden="false" customHeight="false" outlineLevel="0" collapsed="false">
      <c r="A48" s="25" t="s">
        <v>13</v>
      </c>
      <c r="B48" s="26" t="s">
        <v>27</v>
      </c>
      <c r="C48" s="26" t="s">
        <v>69</v>
      </c>
      <c r="D48" s="27" t="n">
        <v>39</v>
      </c>
      <c r="E48" s="27" t="n">
        <v>23</v>
      </c>
      <c r="F48" s="27" t="n">
        <v>5</v>
      </c>
      <c r="G48" s="27" t="n">
        <v>111</v>
      </c>
      <c r="H48" s="27" t="n">
        <v>99</v>
      </c>
      <c r="I48" s="27" t="n">
        <v>0</v>
      </c>
      <c r="J48" s="21" t="n">
        <f aca="false">E48/D48</f>
        <v>0.58974358974359</v>
      </c>
      <c r="K48" s="21" t="n">
        <f aca="false">H48/G48</f>
        <v>0.891891891891892</v>
      </c>
      <c r="L48" s="26" t="str">
        <f aca="false">IF(E48+H48='V2 Corrected'!B18+'V2 Corrected'!C19+'V2 Corrected'!D20+'V2 Corrected'!E21+'V2 Corrected'!F22+'V2 Corrected'!G23,"OK","MISMATCH")</f>
        <v>OK</v>
      </c>
    </row>
    <row r="49" customFormat="false" ht="15" hidden="false" customHeight="false" outlineLevel="0" collapsed="false">
      <c r="A49" s="5" t="s">
        <v>15</v>
      </c>
      <c r="B49" s="10" t="s">
        <v>26</v>
      </c>
      <c r="C49" s="10" t="s">
        <v>68</v>
      </c>
      <c r="D49" s="9" t="n">
        <v>37</v>
      </c>
      <c r="E49" s="9" t="n">
        <v>6</v>
      </c>
      <c r="F49" s="9" t="n">
        <v>25</v>
      </c>
      <c r="G49" s="9" t="n">
        <v>113</v>
      </c>
      <c r="H49" s="9" t="n">
        <v>70</v>
      </c>
      <c r="I49" s="9" t="n">
        <v>13</v>
      </c>
      <c r="J49" s="12" t="n">
        <f aca="false">E49/D49</f>
        <v>0.162162162162162</v>
      </c>
      <c r="K49" s="12" t="n">
        <f aca="false">H49/G49</f>
        <v>0.619469026548673</v>
      </c>
      <c r="L49" s="10" t="str">
        <f aca="false">IF(E49+H49='V1 Matrices'!B29+'V1 Matrices'!C30+'V1 Matrices'!D31+'V1 Matrices'!E32+'V1 Matrices'!F33+'V1 Matrices'!G34,"OK","MISMATCH")</f>
        <v>OK</v>
      </c>
    </row>
    <row r="50" customFormat="false" ht="15" hidden="false" customHeight="false" outlineLevel="0" collapsed="false">
      <c r="A50" s="25" t="s">
        <v>15</v>
      </c>
      <c r="B50" s="26" t="s">
        <v>26</v>
      </c>
      <c r="C50" s="26" t="s">
        <v>69</v>
      </c>
      <c r="D50" s="27" t="n">
        <v>39</v>
      </c>
      <c r="E50" s="27" t="n">
        <v>11</v>
      </c>
      <c r="F50" s="27" t="n">
        <v>25</v>
      </c>
      <c r="G50" s="27" t="n">
        <v>111</v>
      </c>
      <c r="H50" s="27" t="n">
        <v>82</v>
      </c>
      <c r="I50" s="27" t="n">
        <v>12</v>
      </c>
      <c r="J50" s="21" t="n">
        <f aca="false">E50/D50</f>
        <v>0.282051282051282</v>
      </c>
      <c r="K50" s="21" t="n">
        <f aca="false">H50/G50</f>
        <v>0.738738738738739</v>
      </c>
      <c r="L50" s="26" t="str">
        <f aca="false">IF(E50+H50='V1 Corrected'!B29+'V1 Corrected'!C30+'V1 Corrected'!D31+'V1 Corrected'!E32+'V1 Corrected'!F33+'V1 Corrected'!G34,"OK","MISMATCH")</f>
        <v>OK</v>
      </c>
    </row>
    <row r="51" customFormat="false" ht="15" hidden="false" customHeight="false" outlineLevel="0" collapsed="false">
      <c r="A51" s="13" t="s">
        <v>15</v>
      </c>
      <c r="B51" s="14" t="s">
        <v>27</v>
      </c>
      <c r="C51" s="14" t="s">
        <v>68</v>
      </c>
      <c r="D51" s="15" t="n">
        <v>37</v>
      </c>
      <c r="E51" s="15" t="n">
        <v>28</v>
      </c>
      <c r="F51" s="15" t="n">
        <v>1</v>
      </c>
      <c r="G51" s="15" t="n">
        <v>113</v>
      </c>
      <c r="H51" s="15" t="n">
        <v>85</v>
      </c>
      <c r="I51" s="15" t="n">
        <v>1</v>
      </c>
      <c r="J51" s="17" t="n">
        <f aca="false">E51/D51</f>
        <v>0.756756756756757</v>
      </c>
      <c r="K51" s="17" t="n">
        <f aca="false">H51/G51</f>
        <v>0.752212389380531</v>
      </c>
      <c r="L51" s="14" t="str">
        <f aca="false">IF(E51+H51='V2 Matrices'!B29+'V2 Matrices'!C30+'V2 Matrices'!D31+'V2 Matrices'!E32+'V2 Matrices'!F33+'V2 Matrices'!G34,"OK","MISMATCH")</f>
        <v>OK</v>
      </c>
    </row>
    <row r="52" customFormat="false" ht="15" hidden="false" customHeight="false" outlineLevel="0" collapsed="false">
      <c r="A52" s="25" t="s">
        <v>15</v>
      </c>
      <c r="B52" s="26" t="s">
        <v>27</v>
      </c>
      <c r="C52" s="26" t="s">
        <v>69</v>
      </c>
      <c r="D52" s="27" t="n">
        <v>39</v>
      </c>
      <c r="E52" s="27" t="n">
        <v>34</v>
      </c>
      <c r="F52" s="27" t="n">
        <v>0</v>
      </c>
      <c r="G52" s="27" t="n">
        <v>111</v>
      </c>
      <c r="H52" s="27" t="n">
        <v>96</v>
      </c>
      <c r="I52" s="27" t="n">
        <v>0</v>
      </c>
      <c r="J52" s="21" t="n">
        <f aca="false">E52/D52</f>
        <v>0.871794871794872</v>
      </c>
      <c r="K52" s="21" t="n">
        <f aca="false">H52/G52</f>
        <v>0.864864864864865</v>
      </c>
      <c r="L52" s="26" t="str">
        <f aca="false">IF(E52+H52='V2 Corrected'!B29+'V2 Corrected'!C30+'V2 Corrected'!D31+'V2 Corrected'!E32+'V2 Corrected'!F33+'V2 Corrected'!G34,"OK","MISMATCH")</f>
        <v>OK</v>
      </c>
    </row>
    <row r="53" customFormat="false" ht="15" hidden="false" customHeight="false" outlineLevel="0" collapsed="false">
      <c r="A53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</row>
    <row r="5" customFormat="false" ht="31.5" hidden="false" customHeight="true" outlineLevel="0" collapsed="false">
      <c r="A5" s="5" t="s">
        <v>78</v>
      </c>
      <c r="B5" s="28" t="n">
        <v>13</v>
      </c>
      <c r="C5" s="29" t="n">
        <f aca="false">B5/$B$10</f>
        <v>0.541666666666667</v>
      </c>
      <c r="D5" s="30" t="s">
        <v>79</v>
      </c>
      <c r="E5" s="30" t="s">
        <v>80</v>
      </c>
    </row>
    <row r="6" customFormat="false" ht="31.5" hidden="false" customHeight="true" outlineLevel="0" collapsed="false">
      <c r="A6" s="5" t="s">
        <v>81</v>
      </c>
      <c r="B6" s="28" t="n">
        <v>6</v>
      </c>
      <c r="C6" s="29" t="n">
        <f aca="false">B6/$B$10</f>
        <v>0.25</v>
      </c>
      <c r="D6" s="30" t="s">
        <v>82</v>
      </c>
      <c r="E6" s="30" t="s">
        <v>83</v>
      </c>
    </row>
    <row r="7" customFormat="false" ht="31.5" hidden="false" customHeight="true" outlineLevel="0" collapsed="false">
      <c r="A7" s="5" t="s">
        <v>84</v>
      </c>
      <c r="B7" s="28" t="n">
        <v>5</v>
      </c>
      <c r="C7" s="29" t="n">
        <f aca="false">B7/$B$10</f>
        <v>0.208333333333333</v>
      </c>
      <c r="D7" s="30" t="s">
        <v>85</v>
      </c>
      <c r="E7" s="30" t="s">
        <v>86</v>
      </c>
    </row>
    <row r="8" customFormat="false" ht="31.5" hidden="false" customHeight="true" outlineLevel="0" collapsed="false">
      <c r="A8" s="5" t="s">
        <v>87</v>
      </c>
      <c r="B8" s="28" t="n">
        <v>0</v>
      </c>
      <c r="C8" s="29" t="n">
        <f aca="false">B8/$B$10</f>
        <v>0</v>
      </c>
      <c r="D8" s="30" t="s">
        <v>88</v>
      </c>
      <c r="E8" s="30" t="s">
        <v>89</v>
      </c>
    </row>
    <row r="9" customFormat="false" ht="31.5" hidden="false" customHeight="true" outlineLevel="0" collapsed="false">
      <c r="A9" s="5" t="s">
        <v>90</v>
      </c>
      <c r="B9" s="28" t="n">
        <v>0</v>
      </c>
      <c r="C9" s="29" t="n">
        <f aca="false">B9/$B$10</f>
        <v>0</v>
      </c>
      <c r="D9" s="30" t="s">
        <v>91</v>
      </c>
      <c r="E9" s="30" t="s">
        <v>92</v>
      </c>
    </row>
    <row r="10" customFormat="false" ht="15" hidden="false" customHeight="false" outlineLevel="0" collapsed="false">
      <c r="A10" s="31" t="s">
        <v>93</v>
      </c>
      <c r="B10" s="31" t="n">
        <f aca="false">SUM(B5:B9)</f>
        <v>24</v>
      </c>
    </row>
    <row r="12" customFormat="false" ht="15" hidden="false" customHeight="false" outlineLevel="0" collapsed="false">
      <c r="A12" s="3" t="s">
        <v>94</v>
      </c>
    </row>
    <row r="13" customFormat="false" ht="15" hidden="false" customHeight="false" outlineLevel="0" collapsed="false">
      <c r="A13" s="4" t="s">
        <v>95</v>
      </c>
      <c r="B13" s="4" t="s">
        <v>96</v>
      </c>
      <c r="C13" s="4" t="s">
        <v>97</v>
      </c>
      <c r="D13" s="4" t="s">
        <v>75</v>
      </c>
    </row>
    <row r="14" customFormat="false" ht="15" hidden="false" customHeight="false" outlineLevel="0" collapsed="false">
      <c r="A14" s="5" t="s">
        <v>98</v>
      </c>
      <c r="B14" s="28" t="n">
        <v>17</v>
      </c>
      <c r="C14" s="28" t="n">
        <v>10</v>
      </c>
      <c r="D14" s="29" t="n">
        <f aca="false">C14/B14</f>
        <v>0.588235294117647</v>
      </c>
    </row>
    <row r="15" customFormat="false" ht="15" hidden="false" customHeight="false" outlineLevel="0" collapsed="false">
      <c r="A15" s="5" t="s">
        <v>99</v>
      </c>
      <c r="B15" s="28" t="n">
        <v>7</v>
      </c>
      <c r="C15" s="28" t="n">
        <v>3</v>
      </c>
      <c r="D15" s="29" t="n">
        <f aca="false">C15/B15</f>
        <v>0.428571428571429</v>
      </c>
    </row>
    <row r="16" customFormat="false" ht="15" hidden="false" customHeight="false" outlineLevel="0" collapsed="false">
      <c r="A16" s="2" t="s">
        <v>100</v>
      </c>
    </row>
    <row r="18" customFormat="false" ht="15" hidden="false" customHeight="false" outlineLevel="0" collapsed="false">
      <c r="A18" s="3" t="s">
        <v>101</v>
      </c>
    </row>
    <row r="19" customFormat="false" ht="15" hidden="false" customHeight="false" outlineLevel="0" collapsed="false">
      <c r="A19" s="4" t="s">
        <v>102</v>
      </c>
      <c r="B19" s="4" t="s">
        <v>96</v>
      </c>
      <c r="C19" s="4" t="s">
        <v>103</v>
      </c>
    </row>
    <row r="20" customFormat="false" ht="33.75" hidden="false" customHeight="true" outlineLevel="0" collapsed="false">
      <c r="A20" s="32" t="s">
        <v>104</v>
      </c>
      <c r="B20" s="33" t="s">
        <v>105</v>
      </c>
      <c r="C20" s="33" t="s">
        <v>106</v>
      </c>
    </row>
    <row r="21" customFormat="false" ht="33.75" hidden="false" customHeight="true" outlineLevel="0" collapsed="false">
      <c r="A21" s="32" t="s">
        <v>107</v>
      </c>
      <c r="B21" s="33" t="s">
        <v>108</v>
      </c>
      <c r="C21" s="33" t="s">
        <v>109</v>
      </c>
    </row>
    <row r="22" customFormat="false" ht="33.75" hidden="false" customHeight="true" outlineLevel="0" collapsed="false">
      <c r="A22" s="32" t="s">
        <v>110</v>
      </c>
      <c r="B22" s="33" t="s">
        <v>111</v>
      </c>
      <c r="C22" s="33" t="s">
        <v>112</v>
      </c>
    </row>
    <row r="23" customFormat="false" ht="33.75" hidden="false" customHeight="true" outlineLevel="0" collapsed="false">
      <c r="A23" s="32" t="s">
        <v>113</v>
      </c>
      <c r="B23" s="33" t="s">
        <v>114</v>
      </c>
      <c r="C23" s="33" t="s">
        <v>115</v>
      </c>
    </row>
    <row r="24" customFormat="false" ht="33.75" hidden="false" customHeight="true" outlineLevel="0" collapsed="false">
      <c r="A24" s="32" t="s">
        <v>116</v>
      </c>
      <c r="B24" s="33" t="s">
        <v>117</v>
      </c>
      <c r="C24" s="33" t="s">
        <v>118</v>
      </c>
    </row>
    <row r="26" customFormat="false" ht="15" hidden="false" customHeight="false" outlineLevel="0" collapsed="false">
      <c r="A26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2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</row>
    <row r="5" customFormat="false" ht="15" hidden="false" customHeight="false" outlineLevel="0" collapsed="false">
      <c r="A5" s="5" t="s">
        <v>127</v>
      </c>
      <c r="B5" s="34" t="s">
        <v>128</v>
      </c>
      <c r="C5" s="34" t="s">
        <v>129</v>
      </c>
      <c r="D5" s="34" t="s">
        <v>130</v>
      </c>
      <c r="E5" s="33" t="s">
        <v>131</v>
      </c>
    </row>
    <row r="6" customFormat="false" ht="15" hidden="false" customHeight="false" outlineLevel="0" collapsed="false">
      <c r="A6" s="5" t="s">
        <v>132</v>
      </c>
      <c r="B6" s="34" t="s">
        <v>133</v>
      </c>
      <c r="C6" s="34" t="s">
        <v>129</v>
      </c>
      <c r="D6" s="34" t="s">
        <v>130</v>
      </c>
      <c r="E6" s="33" t="s">
        <v>134</v>
      </c>
    </row>
    <row r="7" customFormat="false" ht="15" hidden="false" customHeight="false" outlineLevel="0" collapsed="false">
      <c r="A7" s="5" t="s">
        <v>135</v>
      </c>
      <c r="B7" s="34" t="s">
        <v>136</v>
      </c>
      <c r="C7" s="34" t="s">
        <v>130</v>
      </c>
      <c r="D7" s="34" t="s">
        <v>137</v>
      </c>
      <c r="E7" s="33" t="s">
        <v>138</v>
      </c>
    </row>
    <row r="8" customFormat="false" ht="15" hidden="false" customHeight="false" outlineLevel="0" collapsed="false">
      <c r="A8" s="5" t="s">
        <v>139</v>
      </c>
      <c r="B8" s="34" t="s">
        <v>136</v>
      </c>
      <c r="C8" s="34" t="s">
        <v>130</v>
      </c>
      <c r="D8" s="34" t="s">
        <v>137</v>
      </c>
      <c r="E8" s="33" t="s">
        <v>140</v>
      </c>
    </row>
    <row r="9" customFormat="false" ht="15" hidden="false" customHeight="false" outlineLevel="0" collapsed="false">
      <c r="A9" s="5" t="s">
        <v>141</v>
      </c>
      <c r="B9" s="34" t="s">
        <v>136</v>
      </c>
      <c r="C9" s="34" t="s">
        <v>130</v>
      </c>
      <c r="D9" s="34" t="s">
        <v>137</v>
      </c>
      <c r="E9" s="33" t="s">
        <v>140</v>
      </c>
    </row>
    <row r="10" customFormat="false" ht="15" hidden="false" customHeight="false" outlineLevel="0" collapsed="false">
      <c r="A10" s="5" t="s">
        <v>142</v>
      </c>
      <c r="B10" s="34" t="s">
        <v>136</v>
      </c>
      <c r="C10" s="34" t="s">
        <v>129</v>
      </c>
      <c r="D10" s="34" t="s">
        <v>137</v>
      </c>
      <c r="E10" s="33" t="s">
        <v>143</v>
      </c>
    </row>
    <row r="11" customFormat="false" ht="15" hidden="false" customHeight="false" outlineLevel="0" collapsed="false">
      <c r="A11" s="5" t="s">
        <v>144</v>
      </c>
      <c r="B11" s="34" t="s">
        <v>136</v>
      </c>
      <c r="C11" s="34" t="s">
        <v>129</v>
      </c>
      <c r="D11" s="34" t="s">
        <v>137</v>
      </c>
      <c r="E11" s="33" t="s">
        <v>145</v>
      </c>
    </row>
    <row r="12" customFormat="false" ht="15" hidden="false" customHeight="false" outlineLevel="0" collapsed="false">
      <c r="A12" s="5" t="s">
        <v>146</v>
      </c>
      <c r="B12" s="34" t="s">
        <v>128</v>
      </c>
      <c r="C12" s="34" t="s">
        <v>129</v>
      </c>
      <c r="D12" s="34" t="s">
        <v>137</v>
      </c>
      <c r="E12" s="33" t="s">
        <v>147</v>
      </c>
    </row>
    <row r="13" customFormat="false" ht="15" hidden="false" customHeight="false" outlineLevel="0" collapsed="false">
      <c r="A13" s="5" t="s">
        <v>148</v>
      </c>
      <c r="B13" s="34" t="s">
        <v>149</v>
      </c>
      <c r="C13" s="34" t="s">
        <v>129</v>
      </c>
      <c r="D13" s="34" t="s">
        <v>137</v>
      </c>
      <c r="E13" s="33" t="s">
        <v>150</v>
      </c>
    </row>
    <row r="14" customFormat="false" ht="15" hidden="false" customHeight="false" outlineLevel="0" collapsed="false">
      <c r="A14" s="5" t="s">
        <v>151</v>
      </c>
      <c r="B14" s="34" t="s">
        <v>133</v>
      </c>
      <c r="C14" s="34" t="s">
        <v>130</v>
      </c>
      <c r="D14" s="34" t="s">
        <v>129</v>
      </c>
      <c r="E14" s="33" t="s">
        <v>152</v>
      </c>
    </row>
    <row r="15" customFormat="false" ht="15" hidden="false" customHeight="false" outlineLevel="0" collapsed="false">
      <c r="A15" s="5" t="s">
        <v>153</v>
      </c>
      <c r="B15" s="34" t="s">
        <v>133</v>
      </c>
      <c r="C15" s="34" t="s">
        <v>130</v>
      </c>
      <c r="D15" s="34" t="s">
        <v>129</v>
      </c>
      <c r="E15" s="33" t="s">
        <v>152</v>
      </c>
    </row>
    <row r="16" customFormat="false" ht="15" hidden="false" customHeight="false" outlineLevel="0" collapsed="false">
      <c r="A16" s="5" t="s">
        <v>154</v>
      </c>
      <c r="B16" s="34" t="s">
        <v>128</v>
      </c>
      <c r="C16" s="34" t="s">
        <v>137</v>
      </c>
      <c r="D16" s="34" t="s">
        <v>129</v>
      </c>
      <c r="E16" s="33" t="s">
        <v>155</v>
      </c>
    </row>
    <row r="17" customFormat="false" ht="15" hidden="false" customHeight="false" outlineLevel="0" collapsed="false">
      <c r="A17" s="5" t="s">
        <v>156</v>
      </c>
      <c r="B17" s="34" t="s">
        <v>136</v>
      </c>
      <c r="C17" s="34" t="s">
        <v>129</v>
      </c>
      <c r="D17" s="34" t="s">
        <v>129</v>
      </c>
      <c r="E17" s="33" t="s">
        <v>157</v>
      </c>
    </row>
    <row r="18" customFormat="false" ht="15" hidden="false" customHeight="false" outlineLevel="0" collapsed="false">
      <c r="A18" s="5" t="s">
        <v>158</v>
      </c>
      <c r="B18" s="34" t="s">
        <v>128</v>
      </c>
      <c r="C18" s="34" t="s">
        <v>129</v>
      </c>
      <c r="D18" s="34" t="s">
        <v>129</v>
      </c>
      <c r="E18" s="33" t="s">
        <v>159</v>
      </c>
    </row>
    <row r="19" customFormat="false" ht="15" hidden="false" customHeight="false" outlineLevel="0" collapsed="false">
      <c r="A19" s="5" t="s">
        <v>160</v>
      </c>
      <c r="B19" s="34" t="s">
        <v>133</v>
      </c>
      <c r="C19" s="34" t="s">
        <v>161</v>
      </c>
      <c r="D19" s="34" t="s">
        <v>162</v>
      </c>
      <c r="E19" s="33" t="s">
        <v>163</v>
      </c>
    </row>
    <row r="20" customFormat="false" ht="15" hidden="false" customHeight="false" outlineLevel="0" collapsed="false">
      <c r="A20" s="5" t="s">
        <v>164</v>
      </c>
      <c r="B20" s="34" t="s">
        <v>133</v>
      </c>
      <c r="C20" s="34" t="s">
        <v>161</v>
      </c>
      <c r="D20" s="34" t="s">
        <v>162</v>
      </c>
      <c r="E20" s="33" t="s">
        <v>163</v>
      </c>
    </row>
    <row r="21" customFormat="false" ht="15" hidden="false" customHeight="false" outlineLevel="0" collapsed="false">
      <c r="A21" s="5" t="s">
        <v>165</v>
      </c>
      <c r="B21" s="34" t="s">
        <v>136</v>
      </c>
      <c r="C21" s="34" t="s">
        <v>166</v>
      </c>
      <c r="D21" s="34" t="s">
        <v>161</v>
      </c>
      <c r="E21" s="33" t="s">
        <v>167</v>
      </c>
    </row>
    <row r="22" customFormat="false" ht="15" hidden="false" customHeight="false" outlineLevel="0" collapsed="false">
      <c r="A22" s="5" t="s">
        <v>168</v>
      </c>
      <c r="B22" s="34" t="s">
        <v>136</v>
      </c>
      <c r="C22" s="34" t="s">
        <v>129</v>
      </c>
      <c r="D22" s="34" t="s">
        <v>161</v>
      </c>
      <c r="E22" s="33" t="s">
        <v>167</v>
      </c>
    </row>
    <row r="23" customFormat="false" ht="15" hidden="false" customHeight="false" outlineLevel="0" collapsed="false">
      <c r="A23" s="5" t="s">
        <v>169</v>
      </c>
      <c r="B23" s="34" t="s">
        <v>149</v>
      </c>
      <c r="C23" s="34" t="s">
        <v>166</v>
      </c>
      <c r="D23" s="34" t="s">
        <v>161</v>
      </c>
      <c r="E23" s="33" t="s">
        <v>167</v>
      </c>
    </row>
    <row r="24" customFormat="false" ht="15" hidden="false" customHeight="false" outlineLevel="0" collapsed="false">
      <c r="A24" s="5" t="s">
        <v>170</v>
      </c>
      <c r="B24" s="34" t="s">
        <v>128</v>
      </c>
      <c r="C24" s="34" t="s">
        <v>166</v>
      </c>
      <c r="D24" s="34" t="s">
        <v>161</v>
      </c>
      <c r="E24" s="33" t="s">
        <v>167</v>
      </c>
    </row>
    <row r="25" customFormat="false" ht="15" hidden="false" customHeight="false" outlineLevel="0" collapsed="false">
      <c r="A25" s="5" t="s">
        <v>171</v>
      </c>
      <c r="B25" s="34" t="s">
        <v>133</v>
      </c>
      <c r="C25" s="34" t="s">
        <v>166</v>
      </c>
      <c r="D25" s="34" t="s">
        <v>129</v>
      </c>
      <c r="E25" s="33" t="s">
        <v>172</v>
      </c>
    </row>
    <row r="26" customFormat="false" ht="15" hidden="false" customHeight="false" outlineLevel="0" collapsed="false">
      <c r="A26" s="5" t="s">
        <v>173</v>
      </c>
      <c r="B26" s="34" t="s">
        <v>149</v>
      </c>
      <c r="C26" s="34" t="s">
        <v>166</v>
      </c>
      <c r="D26" s="34" t="s">
        <v>129</v>
      </c>
      <c r="E26" s="33" t="s">
        <v>172</v>
      </c>
    </row>
    <row r="27" customFormat="false" ht="15" hidden="false" customHeight="false" outlineLevel="0" collapsed="false">
      <c r="A27" s="5" t="s">
        <v>174</v>
      </c>
      <c r="B27" s="34" t="s">
        <v>128</v>
      </c>
      <c r="C27" s="34" t="s">
        <v>130</v>
      </c>
      <c r="D27" s="34" t="s">
        <v>129</v>
      </c>
      <c r="E27" s="33" t="s">
        <v>175</v>
      </c>
    </row>
    <row r="28" customFormat="false" ht="15" hidden="false" customHeight="false" outlineLevel="0" collapsed="false">
      <c r="A28" s="5" t="s">
        <v>176</v>
      </c>
      <c r="B28" s="34" t="s">
        <v>149</v>
      </c>
      <c r="C28" s="34" t="s">
        <v>166</v>
      </c>
      <c r="D28" s="34" t="s">
        <v>129</v>
      </c>
      <c r="E28" s="33" t="s">
        <v>177</v>
      </c>
    </row>
    <row r="29" customFormat="false" ht="15" hidden="false" customHeight="false" outlineLevel="0" collapsed="false">
      <c r="A29" s="5" t="s">
        <v>178</v>
      </c>
      <c r="B29" s="34" t="s">
        <v>133</v>
      </c>
      <c r="C29" s="34" t="s">
        <v>166</v>
      </c>
      <c r="D29" s="34" t="s">
        <v>161</v>
      </c>
      <c r="E29" s="33" t="s">
        <v>179</v>
      </c>
    </row>
    <row r="30" customFormat="false" ht="15" hidden="false" customHeight="false" outlineLevel="0" collapsed="false">
      <c r="A30" s="5" t="s">
        <v>180</v>
      </c>
      <c r="B30" s="34" t="s">
        <v>133</v>
      </c>
      <c r="C30" s="34" t="s">
        <v>166</v>
      </c>
      <c r="D30" s="34" t="s">
        <v>161</v>
      </c>
      <c r="E30" s="33" t="s">
        <v>181</v>
      </c>
    </row>
    <row r="31" customFormat="false" ht="15" hidden="false" customHeight="false" outlineLevel="0" collapsed="false">
      <c r="A31" s="5" t="s">
        <v>182</v>
      </c>
      <c r="B31" s="34" t="s">
        <v>128</v>
      </c>
      <c r="C31" s="34" t="s">
        <v>166</v>
      </c>
      <c r="D31" s="34" t="s">
        <v>161</v>
      </c>
      <c r="E31" s="33" t="s">
        <v>183</v>
      </c>
    </row>
    <row r="32" customFormat="false" ht="15" hidden="false" customHeight="false" outlineLevel="0" collapsed="false">
      <c r="A32" s="5" t="s">
        <v>114</v>
      </c>
      <c r="B32" s="34" t="s">
        <v>133</v>
      </c>
      <c r="C32" s="34" t="s">
        <v>166</v>
      </c>
      <c r="D32" s="34" t="s">
        <v>161</v>
      </c>
      <c r="E32" s="33" t="s">
        <v>184</v>
      </c>
    </row>
    <row r="33" customFormat="false" ht="15" hidden="false" customHeight="false" outlineLevel="0" collapsed="false">
      <c r="A33" s="5" t="s">
        <v>185</v>
      </c>
      <c r="B33" s="34" t="s">
        <v>133</v>
      </c>
      <c r="C33" s="34" t="s">
        <v>166</v>
      </c>
      <c r="D33" s="34" t="s">
        <v>162</v>
      </c>
      <c r="E33" s="33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187</v>
      </c>
    </row>
    <row r="3" customFormat="false" ht="15" hidden="false" customHeight="false" outlineLevel="0" collapsed="false">
      <c r="A3" s="4" t="s">
        <v>188</v>
      </c>
      <c r="B3" s="4" t="s">
        <v>189</v>
      </c>
      <c r="C3" s="4" t="s">
        <v>190</v>
      </c>
    </row>
    <row r="4" customFormat="false" ht="31.5" hidden="false" customHeight="true" outlineLevel="0" collapsed="false">
      <c r="A4" s="32" t="s">
        <v>191</v>
      </c>
      <c r="B4" s="33" t="s">
        <v>192</v>
      </c>
      <c r="C4" s="33" t="s">
        <v>193</v>
      </c>
    </row>
    <row r="5" customFormat="false" ht="31.5" hidden="false" customHeight="true" outlineLevel="0" collapsed="false">
      <c r="A5" s="32" t="s">
        <v>191</v>
      </c>
      <c r="B5" s="33" t="s">
        <v>194</v>
      </c>
      <c r="C5" s="33" t="s">
        <v>195</v>
      </c>
    </row>
    <row r="6" customFormat="false" ht="31.5" hidden="false" customHeight="true" outlineLevel="0" collapsed="false">
      <c r="A6" s="32" t="s">
        <v>191</v>
      </c>
      <c r="B6" s="33" t="s">
        <v>196</v>
      </c>
      <c r="C6" s="33" t="s">
        <v>197</v>
      </c>
    </row>
    <row r="7" customFormat="false" ht="31.5" hidden="false" customHeight="true" outlineLevel="0" collapsed="false">
      <c r="A7" s="32" t="s">
        <v>191</v>
      </c>
      <c r="B7" s="33" t="s">
        <v>198</v>
      </c>
      <c r="C7" s="33" t="s">
        <v>199</v>
      </c>
    </row>
    <row r="8" customFormat="false" ht="31.5" hidden="false" customHeight="true" outlineLevel="0" collapsed="false">
      <c r="A8" s="32" t="s">
        <v>191</v>
      </c>
      <c r="B8" s="33" t="s">
        <v>200</v>
      </c>
      <c r="C8" s="33" t="s">
        <v>201</v>
      </c>
    </row>
    <row r="9" customFormat="false" ht="31.5" hidden="false" customHeight="true" outlineLevel="0" collapsed="false">
      <c r="A9" s="32" t="s">
        <v>191</v>
      </c>
      <c r="B9" s="33" t="s">
        <v>202</v>
      </c>
      <c r="C9" s="33" t="s">
        <v>203</v>
      </c>
    </row>
    <row r="10" customFormat="false" ht="31.5" hidden="false" customHeight="true" outlineLevel="0" collapsed="false">
      <c r="A10" s="32" t="s">
        <v>204</v>
      </c>
      <c r="B10" s="33" t="s">
        <v>205</v>
      </c>
      <c r="C10" s="33" t="s">
        <v>206</v>
      </c>
    </row>
    <row r="11" customFormat="false" ht="31.5" hidden="false" customHeight="true" outlineLevel="0" collapsed="false">
      <c r="A11" s="32" t="s">
        <v>207</v>
      </c>
      <c r="B11" s="33" t="s">
        <v>208</v>
      </c>
      <c r="C11" s="33" t="s">
        <v>209</v>
      </c>
    </row>
    <row r="12" customFormat="false" ht="31.5" hidden="false" customHeight="true" outlineLevel="0" collapsed="false">
      <c r="A12" s="32" t="s">
        <v>207</v>
      </c>
      <c r="B12" s="33" t="s">
        <v>210</v>
      </c>
      <c r="C12" s="33" t="s">
        <v>211</v>
      </c>
    </row>
    <row r="13" customFormat="false" ht="31.5" hidden="false" customHeight="true" outlineLevel="0" collapsed="false">
      <c r="A13" s="32" t="s">
        <v>207</v>
      </c>
      <c r="B13" s="33" t="s">
        <v>212</v>
      </c>
      <c r="C13" s="33" t="s">
        <v>213</v>
      </c>
    </row>
    <row r="14" customFormat="false" ht="31.5" hidden="false" customHeight="true" outlineLevel="0" collapsed="false">
      <c r="A14" s="32" t="s">
        <v>207</v>
      </c>
      <c r="B14" s="33" t="s">
        <v>115</v>
      </c>
      <c r="C14" s="33" t="s">
        <v>214</v>
      </c>
    </row>
    <row r="15" customFormat="false" ht="31.5" hidden="false" customHeight="true" outlineLevel="0" collapsed="false">
      <c r="A15" s="32" t="s">
        <v>207</v>
      </c>
      <c r="B15" s="33" t="s">
        <v>215</v>
      </c>
      <c r="C15" s="33" t="s">
        <v>216</v>
      </c>
    </row>
    <row r="16" customFormat="false" ht="31.5" hidden="false" customHeight="true" outlineLevel="0" collapsed="false">
      <c r="A16" s="32" t="s">
        <v>207</v>
      </c>
      <c r="B16" s="33" t="s">
        <v>217</v>
      </c>
      <c r="C16" s="33" t="s">
        <v>218</v>
      </c>
    </row>
    <row r="17" customFormat="false" ht="31.5" hidden="false" customHeight="true" outlineLevel="0" collapsed="false">
      <c r="A17" s="32" t="s">
        <v>207</v>
      </c>
      <c r="B17" s="33" t="s">
        <v>219</v>
      </c>
      <c r="C17" s="33" t="s">
        <v>220</v>
      </c>
    </row>
    <row r="18" customFormat="false" ht="31.5" hidden="false" customHeight="true" outlineLevel="0" collapsed="false">
      <c r="A18" s="32" t="s">
        <v>207</v>
      </c>
      <c r="B18" s="33" t="s">
        <v>221</v>
      </c>
      <c r="C18" s="33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4" t="s">
        <v>225</v>
      </c>
      <c r="B4" s="4" t="s">
        <v>226</v>
      </c>
      <c r="C4" s="4" t="s">
        <v>227</v>
      </c>
      <c r="D4" s="4" t="s">
        <v>228</v>
      </c>
    </row>
    <row r="5" customFormat="false" ht="45.75" hidden="false" customHeight="true" outlineLevel="0" collapsed="false">
      <c r="A5" s="32" t="s">
        <v>229</v>
      </c>
      <c r="B5" s="33" t="s">
        <v>230</v>
      </c>
      <c r="C5" s="33" t="s">
        <v>231</v>
      </c>
      <c r="D5" s="33" t="s">
        <v>232</v>
      </c>
    </row>
    <row r="6" customFormat="false" ht="45.75" hidden="false" customHeight="true" outlineLevel="0" collapsed="false">
      <c r="A6" s="32" t="s">
        <v>233</v>
      </c>
      <c r="B6" s="33" t="s">
        <v>234</v>
      </c>
      <c r="C6" s="33" t="s">
        <v>231</v>
      </c>
      <c r="D6" s="33" t="s">
        <v>232</v>
      </c>
    </row>
    <row r="7" customFormat="false" ht="45.75" hidden="false" customHeight="true" outlineLevel="0" collapsed="false">
      <c r="A7" s="32" t="s">
        <v>235</v>
      </c>
      <c r="B7" s="33" t="s">
        <v>236</v>
      </c>
      <c r="C7" s="33" t="s">
        <v>237</v>
      </c>
      <c r="D7" s="33" t="s">
        <v>238</v>
      </c>
    </row>
    <row r="8" customFormat="false" ht="45.75" hidden="false" customHeight="true" outlineLevel="0" collapsed="false">
      <c r="A8" s="32" t="s">
        <v>239</v>
      </c>
      <c r="B8" s="33" t="s">
        <v>240</v>
      </c>
      <c r="C8" s="33" t="s">
        <v>231</v>
      </c>
      <c r="D8" s="33" t="s">
        <v>232</v>
      </c>
    </row>
    <row r="9" customFormat="false" ht="45.75" hidden="false" customHeight="true" outlineLevel="0" collapsed="false">
      <c r="A9" s="32" t="s">
        <v>241</v>
      </c>
      <c r="B9" s="33" t="s">
        <v>242</v>
      </c>
      <c r="C9" s="33" t="s">
        <v>243</v>
      </c>
      <c r="D9" s="33" t="s">
        <v>244</v>
      </c>
    </row>
    <row r="10" customFormat="false" ht="45.75" hidden="false" customHeight="true" outlineLevel="0" collapsed="false">
      <c r="A10" s="32" t="s">
        <v>245</v>
      </c>
      <c r="B10" s="33" t="s">
        <v>246</v>
      </c>
      <c r="C10" s="33" t="s">
        <v>247</v>
      </c>
      <c r="D10" s="33" t="s">
        <v>248</v>
      </c>
    </row>
    <row r="11" customFormat="false" ht="45.75" hidden="false" customHeight="true" outlineLevel="0" collapsed="false">
      <c r="A11" s="32" t="s">
        <v>249</v>
      </c>
      <c r="B11" s="33" t="s">
        <v>250</v>
      </c>
      <c r="C11" s="33" t="s">
        <v>251</v>
      </c>
      <c r="D11" s="33" t="s">
        <v>248</v>
      </c>
    </row>
    <row r="12" customFormat="false" ht="45.75" hidden="false" customHeight="true" outlineLevel="0" collapsed="false">
      <c r="A12" s="32" t="s">
        <v>252</v>
      </c>
      <c r="B12" s="33" t="s">
        <v>253</v>
      </c>
      <c r="C12" s="33" t="s">
        <v>254</v>
      </c>
      <c r="D12" s="33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56"/>
  </cols>
  <sheetData>
    <row r="1" customFormat="false" ht="17.35" hidden="false" customHeight="false" outlineLevel="0" collapsed="false">
      <c r="A1" s="1" t="s">
        <v>256</v>
      </c>
    </row>
    <row r="3" customFormat="false" ht="15" hidden="false" customHeight="false" outlineLevel="0" collapsed="false">
      <c r="A3" s="4" t="s">
        <v>257</v>
      </c>
      <c r="B3" s="4" t="s">
        <v>258</v>
      </c>
      <c r="C3" s="4" t="s">
        <v>259</v>
      </c>
      <c r="D3" s="4" t="s">
        <v>260</v>
      </c>
    </row>
    <row r="4" customFormat="false" ht="49.5" hidden="false" customHeight="true" outlineLevel="0" collapsed="false">
      <c r="A4" s="10" t="n">
        <v>1</v>
      </c>
      <c r="B4" s="32" t="s">
        <v>261</v>
      </c>
      <c r="C4" s="33" t="s">
        <v>262</v>
      </c>
      <c r="D4" s="33" t="s">
        <v>263</v>
      </c>
    </row>
    <row r="5" customFormat="false" ht="49.5" hidden="false" customHeight="true" outlineLevel="0" collapsed="false">
      <c r="A5" s="10" t="n">
        <v>2</v>
      </c>
      <c r="B5" s="32" t="s">
        <v>264</v>
      </c>
      <c r="C5" s="33" t="s">
        <v>265</v>
      </c>
      <c r="D5" s="33" t="s">
        <v>266</v>
      </c>
    </row>
    <row r="6" customFormat="false" ht="49.5" hidden="false" customHeight="true" outlineLevel="0" collapsed="false">
      <c r="A6" s="10" t="n">
        <v>3</v>
      </c>
      <c r="B6" s="32" t="s">
        <v>267</v>
      </c>
      <c r="C6" s="33" t="s">
        <v>268</v>
      </c>
      <c r="D6" s="33" t="s">
        <v>269</v>
      </c>
    </row>
    <row r="7" customFormat="false" ht="49.5" hidden="false" customHeight="true" outlineLevel="0" collapsed="false">
      <c r="A7" s="10" t="n">
        <v>4</v>
      </c>
      <c r="B7" s="32" t="s">
        <v>270</v>
      </c>
      <c r="C7" s="33" t="s">
        <v>271</v>
      </c>
      <c r="D7" s="33" t="s">
        <v>272</v>
      </c>
    </row>
    <row r="8" customFormat="false" ht="49.5" hidden="false" customHeight="true" outlineLevel="0" collapsed="false">
      <c r="A8" s="10" t="n">
        <v>5</v>
      </c>
      <c r="B8" s="32" t="s">
        <v>273</v>
      </c>
      <c r="C8" s="33" t="s">
        <v>274</v>
      </c>
      <c r="D8" s="33" t="s">
        <v>275</v>
      </c>
    </row>
    <row r="9" customFormat="false" ht="49.5" hidden="false" customHeight="true" outlineLevel="0" collapsed="false">
      <c r="A9" s="10" t="n">
        <v>6</v>
      </c>
      <c r="B9" s="32" t="s">
        <v>276</v>
      </c>
      <c r="C9" s="33" t="s">
        <v>277</v>
      </c>
      <c r="D9" s="33" t="s">
        <v>278</v>
      </c>
    </row>
    <row r="10" customFormat="false" ht="49.5" hidden="false" customHeight="true" outlineLevel="0" collapsed="false">
      <c r="A10" s="10" t="n">
        <v>7</v>
      </c>
      <c r="B10" s="32" t="s">
        <v>279</v>
      </c>
      <c r="C10" s="33" t="s">
        <v>280</v>
      </c>
      <c r="D10" s="33" t="s">
        <v>281</v>
      </c>
    </row>
    <row r="11" customFormat="false" ht="49.5" hidden="false" customHeight="true" outlineLevel="0" collapsed="false">
      <c r="A11" s="10" t="n">
        <v>8</v>
      </c>
      <c r="B11" s="32" t="s">
        <v>282</v>
      </c>
      <c r="C11" s="33" t="s">
        <v>283</v>
      </c>
      <c r="D11" s="33" t="s">
        <v>284</v>
      </c>
    </row>
    <row r="12" customFormat="false" ht="49.5" hidden="false" customHeight="true" outlineLevel="0" collapsed="false">
      <c r="A12" s="10" t="n">
        <v>9</v>
      </c>
      <c r="B12" s="32" t="s">
        <v>285</v>
      </c>
      <c r="C12" s="33" t="s">
        <v>286</v>
      </c>
      <c r="D12" s="33" t="s">
        <v>287</v>
      </c>
    </row>
    <row r="13" customFormat="false" ht="49.5" hidden="false" customHeight="true" outlineLevel="0" collapsed="false">
      <c r="A13" s="10" t="n">
        <v>10</v>
      </c>
      <c r="B13" s="32" t="s">
        <v>288</v>
      </c>
      <c r="C13" s="33" t="s">
        <v>289</v>
      </c>
      <c r="D13" s="33" t="s">
        <v>290</v>
      </c>
    </row>
    <row r="14" customFormat="false" ht="49.5" hidden="false" customHeight="true" outlineLevel="0" collapsed="false">
      <c r="A14" s="10" t="n">
        <v>11</v>
      </c>
      <c r="B14" s="32" t="s">
        <v>291</v>
      </c>
      <c r="C14" s="33" t="s">
        <v>292</v>
      </c>
      <c r="D14" s="33" t="s">
        <v>293</v>
      </c>
    </row>
    <row r="15" customFormat="false" ht="49.5" hidden="false" customHeight="true" outlineLevel="0" collapsed="false">
      <c r="A15" s="10" t="n">
        <v>12</v>
      </c>
      <c r="B15" s="32" t="s">
        <v>294</v>
      </c>
      <c r="C15" s="33" t="s">
        <v>295</v>
      </c>
      <c r="D15" s="33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1" t="s">
        <v>297</v>
      </c>
    </row>
    <row r="3" customFormat="false" ht="15" hidden="false" customHeight="false" outlineLevel="0" collapsed="false">
      <c r="A3" s="4" t="s">
        <v>298</v>
      </c>
      <c r="B3" s="4" t="s">
        <v>299</v>
      </c>
    </row>
    <row r="4" customFormat="false" ht="31.5" hidden="false" customHeight="true" outlineLevel="0" collapsed="false">
      <c r="A4" s="35" t="s">
        <v>300</v>
      </c>
      <c r="B4" s="30" t="s">
        <v>301</v>
      </c>
    </row>
    <row r="5" customFormat="false" ht="31.5" hidden="false" customHeight="true" outlineLevel="0" collapsed="false">
      <c r="A5" s="35" t="s">
        <v>300</v>
      </c>
      <c r="B5" s="30" t="s">
        <v>302</v>
      </c>
    </row>
    <row r="6" customFormat="false" ht="31.5" hidden="false" customHeight="true" outlineLevel="0" collapsed="false">
      <c r="A6" s="35" t="s">
        <v>300</v>
      </c>
      <c r="B6" s="30" t="s">
        <v>303</v>
      </c>
    </row>
    <row r="7" customFormat="false" ht="31.5" hidden="false" customHeight="true" outlineLevel="0" collapsed="false">
      <c r="A7" s="35" t="s">
        <v>300</v>
      </c>
      <c r="B7" s="30" t="s">
        <v>304</v>
      </c>
    </row>
    <row r="8" customFormat="false" ht="31.5" hidden="false" customHeight="true" outlineLevel="0" collapsed="false">
      <c r="A8" s="35" t="s">
        <v>300</v>
      </c>
      <c r="B8" s="30" t="s">
        <v>305</v>
      </c>
    </row>
    <row r="9" customFormat="false" ht="31.5" hidden="false" customHeight="true" outlineLevel="0" collapsed="false">
      <c r="A9" s="35" t="s">
        <v>300</v>
      </c>
      <c r="B9" s="30" t="s">
        <v>306</v>
      </c>
    </row>
    <row r="10" customFormat="false" ht="31.5" hidden="false" customHeight="true" outlineLevel="0" collapsed="false">
      <c r="A10" s="35" t="s">
        <v>300</v>
      </c>
      <c r="B10" s="30" t="s">
        <v>307</v>
      </c>
    </row>
    <row r="11" customFormat="false" ht="31.5" hidden="false" customHeight="true" outlineLevel="0" collapsed="false">
      <c r="A11" s="35" t="s">
        <v>308</v>
      </c>
      <c r="B11" s="30" t="s">
        <v>309</v>
      </c>
    </row>
    <row r="12" customFormat="false" ht="31.5" hidden="false" customHeight="true" outlineLevel="0" collapsed="false">
      <c r="A12" s="35" t="s">
        <v>308</v>
      </c>
      <c r="B12" s="30" t="s">
        <v>310</v>
      </c>
    </row>
    <row r="13" customFormat="false" ht="31.5" hidden="false" customHeight="true" outlineLevel="0" collapsed="false">
      <c r="A13" s="35" t="s">
        <v>308</v>
      </c>
      <c r="B13" s="30" t="s">
        <v>311</v>
      </c>
    </row>
    <row r="14" customFormat="false" ht="31.5" hidden="false" customHeight="true" outlineLevel="0" collapsed="false">
      <c r="A14" s="35" t="s">
        <v>312</v>
      </c>
      <c r="B14" s="30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5" customFormat="false" ht="15" hidden="false" customHeight="false" outlineLevel="0" collapsed="false">
      <c r="A5" s="3" t="s">
        <v>316</v>
      </c>
    </row>
    <row r="6" customFormat="false" ht="15" hidden="false" customHeight="false" outlineLevel="0" collapsed="false">
      <c r="A6" s="4" t="s">
        <v>317</v>
      </c>
      <c r="B6" s="4" t="s">
        <v>318</v>
      </c>
      <c r="C6" s="4" t="s">
        <v>319</v>
      </c>
      <c r="D6" s="4" t="s">
        <v>320</v>
      </c>
      <c r="E6" s="4" t="s">
        <v>321</v>
      </c>
      <c r="F6" s="4" t="s">
        <v>322</v>
      </c>
      <c r="G6" s="4" t="s">
        <v>323</v>
      </c>
      <c r="H6" s="4" t="s">
        <v>324</v>
      </c>
    </row>
    <row r="7" customFormat="false" ht="15" hidden="false" customHeight="false" outlineLevel="0" collapsed="false">
      <c r="A7" s="5" t="s">
        <v>318</v>
      </c>
      <c r="B7" s="36" t="n">
        <v>8</v>
      </c>
      <c r="C7" s="9" t="n">
        <v>2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SUM(B7:G7)</f>
        <v>10</v>
      </c>
    </row>
    <row r="8" customFormat="false" ht="15" hidden="false" customHeight="false" outlineLevel="0" collapsed="false">
      <c r="A8" s="5" t="s">
        <v>319</v>
      </c>
      <c r="B8" s="9" t="n">
        <v>8</v>
      </c>
      <c r="C8" s="36" t="n">
        <v>18</v>
      </c>
      <c r="D8" s="9" t="n">
        <v>2</v>
      </c>
      <c r="E8" s="9" t="n">
        <v>0</v>
      </c>
      <c r="F8" s="9" t="n">
        <v>0</v>
      </c>
      <c r="G8" s="9" t="n">
        <v>3</v>
      </c>
      <c r="H8" s="10" t="n">
        <f aca="false">SUM(B8:G8)</f>
        <v>31</v>
      </c>
    </row>
    <row r="9" customFormat="false" ht="15" hidden="false" customHeight="false" outlineLevel="0" collapsed="false">
      <c r="A9" s="5" t="s">
        <v>320</v>
      </c>
      <c r="B9" s="9" t="n">
        <v>0</v>
      </c>
      <c r="C9" s="9" t="n">
        <v>11</v>
      </c>
      <c r="D9" s="36" t="n">
        <v>12</v>
      </c>
      <c r="E9" s="9" t="n">
        <v>5</v>
      </c>
      <c r="F9" s="9" t="n">
        <v>1</v>
      </c>
      <c r="G9" s="9" t="n">
        <v>10</v>
      </c>
      <c r="H9" s="10" t="n">
        <f aca="false">SUM(B9:G9)</f>
        <v>39</v>
      </c>
    </row>
    <row r="10" customFormat="false" ht="15" hidden="false" customHeight="false" outlineLevel="0" collapsed="false">
      <c r="A10" s="5" t="s">
        <v>321</v>
      </c>
      <c r="B10" s="9" t="n">
        <v>0</v>
      </c>
      <c r="C10" s="9" t="n">
        <v>0</v>
      </c>
      <c r="D10" s="9" t="n">
        <v>4</v>
      </c>
      <c r="E10" s="36" t="n">
        <v>7</v>
      </c>
      <c r="F10" s="9" t="n">
        <v>4</v>
      </c>
      <c r="G10" s="9" t="n">
        <v>15</v>
      </c>
      <c r="H10" s="10" t="n">
        <f aca="false">SUM(B10:G10)</f>
        <v>30</v>
      </c>
    </row>
    <row r="11" customFormat="false" ht="15" hidden="false" customHeight="false" outlineLevel="0" collapsed="false">
      <c r="A11" s="5" t="s">
        <v>322</v>
      </c>
      <c r="B11" s="9" t="n">
        <v>0</v>
      </c>
      <c r="C11" s="9" t="n">
        <v>0</v>
      </c>
      <c r="D11" s="9" t="n">
        <v>2</v>
      </c>
      <c r="E11" s="9" t="n">
        <v>2</v>
      </c>
      <c r="F11" s="36" t="n">
        <v>2</v>
      </c>
      <c r="G11" s="9" t="n">
        <v>1</v>
      </c>
      <c r="H11" s="10" t="n">
        <f aca="false">SUM(B11:G11)</f>
        <v>7</v>
      </c>
    </row>
    <row r="12" customFormat="false" ht="15" hidden="false" customHeight="false" outlineLevel="0" collapsed="false">
      <c r="A12" s="5" t="s">
        <v>323</v>
      </c>
      <c r="B12" s="9" t="n">
        <v>2</v>
      </c>
      <c r="C12" s="9" t="n">
        <v>4</v>
      </c>
      <c r="D12" s="9" t="n">
        <v>0</v>
      </c>
      <c r="E12" s="9" t="n">
        <v>0</v>
      </c>
      <c r="F12" s="9" t="n">
        <v>0</v>
      </c>
      <c r="G12" s="36" t="n">
        <v>27</v>
      </c>
      <c r="H12" s="10" t="n">
        <f aca="false">SUM(B12:G12)</f>
        <v>33</v>
      </c>
    </row>
    <row r="13" customFormat="false" ht="15" hidden="false" customHeight="false" outlineLevel="0" collapsed="false">
      <c r="A13" s="5" t="s">
        <v>325</v>
      </c>
      <c r="B13" s="35" t="n">
        <f aca="false">SUM(B7:B12)</f>
        <v>18</v>
      </c>
      <c r="C13" s="35" t="n">
        <f aca="false">SUM(C7:C12)</f>
        <v>35</v>
      </c>
      <c r="D13" s="35" t="n">
        <f aca="false">SUM(D7:D12)</f>
        <v>20</v>
      </c>
      <c r="E13" s="35" t="n">
        <f aca="false">SUM(E7:E12)</f>
        <v>14</v>
      </c>
      <c r="F13" s="35" t="n">
        <f aca="false">SUM(F7:F12)</f>
        <v>7</v>
      </c>
      <c r="G13" s="35" t="n">
        <f aca="false">SUM(G7:G12)</f>
        <v>56</v>
      </c>
      <c r="H13" s="35" t="n">
        <f aca="false">SUM(H7:H12)</f>
        <v>150</v>
      </c>
    </row>
    <row r="14" customFormat="false" ht="15" hidden="false" customHeight="false" outlineLevel="0" collapsed="false">
      <c r="A14" s="2" t="s">
        <v>326</v>
      </c>
      <c r="B14" s="37" t="str">
        <f aca="false">IF(H13=150,"OK","CHECK")</f>
        <v>OK</v>
      </c>
    </row>
    <row r="16" customFormat="false" ht="15" hidden="false" customHeight="false" outlineLevel="0" collapsed="false">
      <c r="A16" s="3" t="s">
        <v>327</v>
      </c>
    </row>
    <row r="17" customFormat="false" ht="15" hidden="false" customHeight="false" outlineLevel="0" collapsed="false">
      <c r="A17" s="4" t="s">
        <v>317</v>
      </c>
      <c r="B17" s="4" t="s">
        <v>318</v>
      </c>
      <c r="C17" s="4" t="s">
        <v>319</v>
      </c>
      <c r="D17" s="4" t="s">
        <v>320</v>
      </c>
      <c r="E17" s="4" t="s">
        <v>321</v>
      </c>
      <c r="F17" s="4" t="s">
        <v>322</v>
      </c>
      <c r="G17" s="4" t="s">
        <v>323</v>
      </c>
      <c r="H17" s="4" t="s">
        <v>324</v>
      </c>
    </row>
    <row r="18" customFormat="false" ht="15" hidden="false" customHeight="false" outlineLevel="0" collapsed="false">
      <c r="A18" s="5" t="s">
        <v>318</v>
      </c>
      <c r="B18" s="36" t="n">
        <v>9</v>
      </c>
      <c r="C18" s="9" t="n">
        <v>1</v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f aca="false">SUM(B18:G18)</f>
        <v>10</v>
      </c>
    </row>
    <row r="19" customFormat="false" ht="15" hidden="false" customHeight="false" outlineLevel="0" collapsed="false">
      <c r="A19" s="5" t="s">
        <v>319</v>
      </c>
      <c r="B19" s="9" t="n">
        <v>9</v>
      </c>
      <c r="C19" s="36" t="n">
        <v>16</v>
      </c>
      <c r="D19" s="9" t="n">
        <v>1</v>
      </c>
      <c r="E19" s="9" t="n">
        <v>0</v>
      </c>
      <c r="F19" s="9" t="n">
        <v>0</v>
      </c>
      <c r="G19" s="9" t="n">
        <v>5</v>
      </c>
      <c r="H19" s="10" t="n">
        <f aca="false">SUM(B19:G19)</f>
        <v>31</v>
      </c>
    </row>
    <row r="20" customFormat="false" ht="15" hidden="false" customHeight="false" outlineLevel="0" collapsed="false">
      <c r="A20" s="5" t="s">
        <v>320</v>
      </c>
      <c r="B20" s="9" t="n">
        <v>0</v>
      </c>
      <c r="C20" s="9" t="n">
        <v>7</v>
      </c>
      <c r="D20" s="36" t="n">
        <v>18</v>
      </c>
      <c r="E20" s="9" t="n">
        <v>3</v>
      </c>
      <c r="F20" s="9" t="n">
        <v>0</v>
      </c>
      <c r="G20" s="9" t="n">
        <v>11</v>
      </c>
      <c r="H20" s="10" t="n">
        <f aca="false">SUM(B20:G20)</f>
        <v>39</v>
      </c>
    </row>
    <row r="21" customFormat="false" ht="15" hidden="false" customHeight="false" outlineLevel="0" collapsed="false">
      <c r="A21" s="5" t="s">
        <v>321</v>
      </c>
      <c r="B21" s="9" t="n">
        <v>0</v>
      </c>
      <c r="C21" s="9" t="n">
        <v>0</v>
      </c>
      <c r="D21" s="9" t="n">
        <v>1</v>
      </c>
      <c r="E21" s="36" t="n">
        <v>13</v>
      </c>
      <c r="F21" s="9" t="n">
        <v>2</v>
      </c>
      <c r="G21" s="9" t="n">
        <v>14</v>
      </c>
      <c r="H21" s="10" t="n">
        <f aca="false">SUM(B21:G21)</f>
        <v>30</v>
      </c>
    </row>
    <row r="22" customFormat="false" ht="15" hidden="false" customHeight="false" outlineLevel="0" collapsed="false">
      <c r="A22" s="5" t="s">
        <v>322</v>
      </c>
      <c r="B22" s="9" t="n">
        <v>0</v>
      </c>
      <c r="C22" s="9" t="n">
        <v>0</v>
      </c>
      <c r="D22" s="9" t="n">
        <v>0</v>
      </c>
      <c r="E22" s="9" t="n">
        <v>2</v>
      </c>
      <c r="F22" s="36" t="n">
        <v>5</v>
      </c>
      <c r="G22" s="9" t="n">
        <v>0</v>
      </c>
      <c r="H22" s="10" t="n">
        <f aca="false">SUM(B22:G22)</f>
        <v>7</v>
      </c>
    </row>
    <row r="23" customFormat="false" ht="15" hidden="false" customHeight="false" outlineLevel="0" collapsed="false">
      <c r="A23" s="5" t="s">
        <v>323</v>
      </c>
      <c r="B23" s="9" t="n">
        <v>5</v>
      </c>
      <c r="C23" s="9" t="n">
        <v>1</v>
      </c>
      <c r="D23" s="9" t="n">
        <v>0</v>
      </c>
      <c r="E23" s="9" t="n">
        <v>0</v>
      </c>
      <c r="F23" s="9" t="n">
        <v>0</v>
      </c>
      <c r="G23" s="36" t="n">
        <v>27</v>
      </c>
      <c r="H23" s="10" t="n">
        <f aca="false">SUM(B23:G23)</f>
        <v>33</v>
      </c>
    </row>
    <row r="24" customFormat="false" ht="15" hidden="false" customHeight="false" outlineLevel="0" collapsed="false">
      <c r="A24" s="5" t="s">
        <v>325</v>
      </c>
      <c r="B24" s="35" t="n">
        <f aca="false">SUM(B18:B23)</f>
        <v>23</v>
      </c>
      <c r="C24" s="35" t="n">
        <f aca="false">SUM(C18:C23)</f>
        <v>25</v>
      </c>
      <c r="D24" s="35" t="n">
        <f aca="false">SUM(D18:D23)</f>
        <v>20</v>
      </c>
      <c r="E24" s="35" t="n">
        <f aca="false">SUM(E18:E23)</f>
        <v>18</v>
      </c>
      <c r="F24" s="35" t="n">
        <f aca="false">SUM(F18:F23)</f>
        <v>7</v>
      </c>
      <c r="G24" s="35" t="n">
        <f aca="false">SUM(G18:G23)</f>
        <v>57</v>
      </c>
      <c r="H24" s="35" t="n">
        <f aca="false">SUM(H18:H23)</f>
        <v>150</v>
      </c>
    </row>
    <row r="25" customFormat="false" ht="15" hidden="false" customHeight="false" outlineLevel="0" collapsed="false">
      <c r="A25" s="2" t="s">
        <v>326</v>
      </c>
      <c r="B25" s="37" t="str">
        <f aca="false">IF(H24=150,"OK","CHECK")</f>
        <v>OK</v>
      </c>
    </row>
    <row r="27" customFormat="false" ht="15" hidden="false" customHeight="false" outlineLevel="0" collapsed="false">
      <c r="A27" s="3" t="s">
        <v>328</v>
      </c>
    </row>
    <row r="28" customFormat="false" ht="15" hidden="false" customHeight="false" outlineLevel="0" collapsed="false">
      <c r="A28" s="4" t="s">
        <v>317</v>
      </c>
      <c r="B28" s="4" t="s">
        <v>318</v>
      </c>
      <c r="C28" s="4" t="s">
        <v>319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</row>
    <row r="29" customFormat="false" ht="15" hidden="false" customHeight="false" outlineLevel="0" collapsed="false">
      <c r="A29" s="5" t="s">
        <v>318</v>
      </c>
      <c r="B29" s="36" t="n">
        <v>9</v>
      </c>
      <c r="C29" s="9" t="n">
        <v>1</v>
      </c>
      <c r="D29" s="9" t="n">
        <v>0</v>
      </c>
      <c r="E29" s="9" t="n">
        <v>0</v>
      </c>
      <c r="F29" s="9" t="n">
        <v>0</v>
      </c>
      <c r="G29" s="9" t="n">
        <v>0</v>
      </c>
      <c r="H29" s="10" t="n">
        <f aca="false">SUM(B29:G29)</f>
        <v>10</v>
      </c>
    </row>
    <row r="30" customFormat="false" ht="15" hidden="false" customHeight="false" outlineLevel="0" collapsed="false">
      <c r="A30" s="5" t="s">
        <v>319</v>
      </c>
      <c r="B30" s="9" t="n">
        <v>4</v>
      </c>
      <c r="C30" s="36" t="n">
        <v>19</v>
      </c>
      <c r="D30" s="9" t="n">
        <v>3</v>
      </c>
      <c r="E30" s="9" t="n">
        <v>0</v>
      </c>
      <c r="F30" s="9" t="n">
        <v>0</v>
      </c>
      <c r="G30" s="9" t="n">
        <v>5</v>
      </c>
      <c r="H30" s="10" t="n">
        <f aca="false">SUM(B30:G30)</f>
        <v>31</v>
      </c>
    </row>
    <row r="31" customFormat="false" ht="15" hidden="false" customHeight="false" outlineLevel="0" collapsed="false">
      <c r="A31" s="5" t="s">
        <v>320</v>
      </c>
      <c r="B31" s="9" t="n">
        <v>0</v>
      </c>
      <c r="C31" s="9" t="n">
        <v>6</v>
      </c>
      <c r="D31" s="36" t="n">
        <v>11</v>
      </c>
      <c r="E31" s="9" t="n">
        <v>5</v>
      </c>
      <c r="F31" s="9" t="n">
        <v>1</v>
      </c>
      <c r="G31" s="9" t="n">
        <v>16</v>
      </c>
      <c r="H31" s="10" t="n">
        <f aca="false">SUM(B31:G31)</f>
        <v>39</v>
      </c>
    </row>
    <row r="32" customFormat="false" ht="15" hidden="false" customHeight="false" outlineLevel="0" collapsed="false">
      <c r="A32" s="5" t="s">
        <v>321</v>
      </c>
      <c r="B32" s="9" t="n">
        <v>0</v>
      </c>
      <c r="C32" s="9" t="n">
        <v>0</v>
      </c>
      <c r="D32" s="9" t="n">
        <v>3</v>
      </c>
      <c r="E32" s="36" t="n">
        <v>7</v>
      </c>
      <c r="F32" s="9" t="n">
        <v>4</v>
      </c>
      <c r="G32" s="9" t="n">
        <v>16</v>
      </c>
      <c r="H32" s="10" t="n">
        <f aca="false">SUM(B32:G32)</f>
        <v>30</v>
      </c>
    </row>
    <row r="33" customFormat="false" ht="15" hidden="false" customHeight="false" outlineLevel="0" collapsed="false">
      <c r="A33" s="5" t="s">
        <v>322</v>
      </c>
      <c r="B33" s="9" t="n">
        <v>0</v>
      </c>
      <c r="C33" s="9" t="n">
        <v>0</v>
      </c>
      <c r="D33" s="9" t="n">
        <v>2</v>
      </c>
      <c r="E33" s="9" t="n">
        <v>2</v>
      </c>
      <c r="F33" s="36" t="n">
        <v>2</v>
      </c>
      <c r="G33" s="9" t="n">
        <v>1</v>
      </c>
      <c r="H33" s="10" t="n">
        <f aca="false">SUM(B33:G33)</f>
        <v>7</v>
      </c>
    </row>
    <row r="34" customFormat="false" ht="15" hidden="false" customHeight="false" outlineLevel="0" collapsed="false">
      <c r="A34" s="5" t="s">
        <v>323</v>
      </c>
      <c r="B34" s="9" t="n">
        <v>3</v>
      </c>
      <c r="C34" s="9" t="n">
        <v>2</v>
      </c>
      <c r="D34" s="9" t="n">
        <v>0</v>
      </c>
      <c r="E34" s="9" t="n">
        <v>0</v>
      </c>
      <c r="F34" s="9" t="n">
        <v>0</v>
      </c>
      <c r="G34" s="36" t="n">
        <v>28</v>
      </c>
      <c r="H34" s="10" t="n">
        <f aca="false">SUM(B34:G34)</f>
        <v>33</v>
      </c>
    </row>
    <row r="35" customFormat="false" ht="15" hidden="false" customHeight="false" outlineLevel="0" collapsed="false">
      <c r="A35" s="5" t="s">
        <v>325</v>
      </c>
      <c r="B35" s="35" t="n">
        <f aca="false">SUM(B29:B34)</f>
        <v>16</v>
      </c>
      <c r="C35" s="35" t="n">
        <f aca="false">SUM(C29:C34)</f>
        <v>28</v>
      </c>
      <c r="D35" s="35" t="n">
        <f aca="false">SUM(D29:D34)</f>
        <v>19</v>
      </c>
      <c r="E35" s="35" t="n">
        <f aca="false">SUM(E29:E34)</f>
        <v>14</v>
      </c>
      <c r="F35" s="35" t="n">
        <f aca="false">SUM(F29:F34)</f>
        <v>7</v>
      </c>
      <c r="G35" s="35" t="n">
        <f aca="false">SUM(G29:G34)</f>
        <v>66</v>
      </c>
      <c r="H35" s="35" t="n">
        <f aca="false">SUM(H29:H34)</f>
        <v>150</v>
      </c>
    </row>
    <row r="36" customFormat="false" ht="15" hidden="false" customHeight="false" outlineLevel="0" collapsed="false">
      <c r="A36" s="2" t="s">
        <v>326</v>
      </c>
      <c r="B36" s="37" t="str">
        <f aca="false">IF(H35=150,"OK","CHECK")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315</v>
      </c>
    </row>
    <row r="5" customFormat="false" ht="15" hidden="false" customHeight="false" outlineLevel="0" collapsed="false">
      <c r="A5" s="3" t="s">
        <v>330</v>
      </c>
    </row>
    <row r="6" customFormat="false" ht="15" hidden="false" customHeight="false" outlineLevel="0" collapsed="false">
      <c r="A6" s="4" t="s">
        <v>317</v>
      </c>
      <c r="B6" s="4" t="s">
        <v>318</v>
      </c>
      <c r="C6" s="4" t="s">
        <v>319</v>
      </c>
      <c r="D6" s="4" t="s">
        <v>320</v>
      </c>
      <c r="E6" s="4" t="s">
        <v>321</v>
      </c>
      <c r="F6" s="4" t="s">
        <v>322</v>
      </c>
      <c r="G6" s="4" t="s">
        <v>323</v>
      </c>
      <c r="H6" s="4" t="s">
        <v>324</v>
      </c>
    </row>
    <row r="7" customFormat="false" ht="15" hidden="false" customHeight="false" outlineLevel="0" collapsed="false">
      <c r="A7" s="5" t="s">
        <v>318</v>
      </c>
      <c r="B7" s="36" t="n">
        <v>9</v>
      </c>
      <c r="C7" s="9" t="n">
        <v>1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SUM(B7:G7)</f>
        <v>10</v>
      </c>
    </row>
    <row r="8" customFormat="false" ht="15" hidden="false" customHeight="false" outlineLevel="0" collapsed="false">
      <c r="A8" s="5" t="s">
        <v>319</v>
      </c>
      <c r="B8" s="9" t="n">
        <v>10</v>
      </c>
      <c r="C8" s="36" t="n">
        <v>18</v>
      </c>
      <c r="D8" s="9" t="n">
        <v>2</v>
      </c>
      <c r="E8" s="9" t="n">
        <v>0</v>
      </c>
      <c r="F8" s="9" t="n">
        <v>0</v>
      </c>
      <c r="G8" s="9" t="n">
        <v>1</v>
      </c>
      <c r="H8" s="10" t="n">
        <f aca="false">SUM(B8:G8)</f>
        <v>31</v>
      </c>
    </row>
    <row r="9" customFormat="false" ht="15" hidden="false" customHeight="false" outlineLevel="0" collapsed="false">
      <c r="A9" s="5" t="s">
        <v>320</v>
      </c>
      <c r="B9" s="9" t="n">
        <v>0</v>
      </c>
      <c r="C9" s="9" t="n">
        <v>6</v>
      </c>
      <c r="D9" s="36" t="n">
        <v>25</v>
      </c>
      <c r="E9" s="9" t="n">
        <v>7</v>
      </c>
      <c r="F9" s="9" t="n">
        <v>1</v>
      </c>
      <c r="G9" s="9" t="n">
        <v>0</v>
      </c>
      <c r="H9" s="10" t="n">
        <f aca="false">SUM(B9:G9)</f>
        <v>39</v>
      </c>
    </row>
    <row r="10" customFormat="false" ht="15" hidden="false" customHeight="false" outlineLevel="0" collapsed="false">
      <c r="A10" s="5" t="s">
        <v>321</v>
      </c>
      <c r="B10" s="9" t="n">
        <v>0</v>
      </c>
      <c r="C10" s="9" t="n">
        <v>0</v>
      </c>
      <c r="D10" s="9" t="n">
        <v>2</v>
      </c>
      <c r="E10" s="36" t="n">
        <v>24</v>
      </c>
      <c r="F10" s="9" t="n">
        <v>4</v>
      </c>
      <c r="G10" s="9" t="n">
        <v>0</v>
      </c>
      <c r="H10" s="10" t="n">
        <f aca="false">SUM(B10:G10)</f>
        <v>30</v>
      </c>
    </row>
    <row r="11" customFormat="false" ht="15" hidden="false" customHeight="false" outlineLevel="0" collapsed="false">
      <c r="A11" s="5" t="s">
        <v>322</v>
      </c>
      <c r="B11" s="9" t="n">
        <v>0</v>
      </c>
      <c r="C11" s="9" t="n">
        <v>0</v>
      </c>
      <c r="D11" s="9" t="n">
        <v>0</v>
      </c>
      <c r="E11" s="9" t="n">
        <v>2</v>
      </c>
      <c r="F11" s="36" t="n">
        <v>5</v>
      </c>
      <c r="G11" s="9" t="n">
        <v>0</v>
      </c>
      <c r="H11" s="10" t="n">
        <f aca="false">SUM(B11:G11)</f>
        <v>7</v>
      </c>
    </row>
    <row r="12" customFormat="false" ht="15" hidden="false" customHeight="false" outlineLevel="0" collapsed="false">
      <c r="A12" s="5" t="s">
        <v>323</v>
      </c>
      <c r="B12" s="9" t="n">
        <v>1</v>
      </c>
      <c r="C12" s="9" t="n">
        <v>8</v>
      </c>
      <c r="D12" s="9" t="n">
        <v>0</v>
      </c>
      <c r="E12" s="9" t="n">
        <v>0</v>
      </c>
      <c r="F12" s="9" t="n">
        <v>0</v>
      </c>
      <c r="G12" s="36" t="n">
        <v>24</v>
      </c>
      <c r="H12" s="10" t="n">
        <f aca="false">SUM(B12:G12)</f>
        <v>33</v>
      </c>
    </row>
    <row r="13" customFormat="false" ht="15" hidden="false" customHeight="false" outlineLevel="0" collapsed="false">
      <c r="A13" s="5" t="s">
        <v>325</v>
      </c>
      <c r="B13" s="35" t="n">
        <f aca="false">SUM(B7:B12)</f>
        <v>20</v>
      </c>
      <c r="C13" s="35" t="n">
        <f aca="false">SUM(C7:C12)</f>
        <v>33</v>
      </c>
      <c r="D13" s="35" t="n">
        <f aca="false">SUM(D7:D12)</f>
        <v>29</v>
      </c>
      <c r="E13" s="35" t="n">
        <f aca="false">SUM(E7:E12)</f>
        <v>33</v>
      </c>
      <c r="F13" s="35" t="n">
        <f aca="false">SUM(F7:F12)</f>
        <v>10</v>
      </c>
      <c r="G13" s="35" t="n">
        <f aca="false">SUM(G7:G12)</f>
        <v>25</v>
      </c>
      <c r="H13" s="35" t="n">
        <f aca="false">SUM(H7:H12)</f>
        <v>150</v>
      </c>
    </row>
    <row r="14" customFormat="false" ht="15" hidden="false" customHeight="false" outlineLevel="0" collapsed="false">
      <c r="A14" s="2" t="s">
        <v>326</v>
      </c>
      <c r="B14" s="37" t="str">
        <f aca="false">IF(H13=150,"OK","CHECK")</f>
        <v>OK</v>
      </c>
    </row>
    <row r="16" customFormat="false" ht="15" hidden="false" customHeight="false" outlineLevel="0" collapsed="false">
      <c r="A16" s="3" t="s">
        <v>331</v>
      </c>
    </row>
    <row r="17" customFormat="false" ht="15" hidden="false" customHeight="false" outlineLevel="0" collapsed="false">
      <c r="A17" s="4" t="s">
        <v>317</v>
      </c>
      <c r="B17" s="4" t="s">
        <v>318</v>
      </c>
      <c r="C17" s="4" t="s">
        <v>319</v>
      </c>
      <c r="D17" s="4" t="s">
        <v>320</v>
      </c>
      <c r="E17" s="4" t="s">
        <v>321</v>
      </c>
      <c r="F17" s="4" t="s">
        <v>322</v>
      </c>
      <c r="G17" s="4" t="s">
        <v>323</v>
      </c>
      <c r="H17" s="4" t="s">
        <v>324</v>
      </c>
    </row>
    <row r="18" customFormat="false" ht="15" hidden="false" customHeight="false" outlineLevel="0" collapsed="false">
      <c r="A18" s="5" t="s">
        <v>318</v>
      </c>
      <c r="B18" s="36" t="n">
        <v>10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f aca="false">SUM(B18:G18)</f>
        <v>10</v>
      </c>
    </row>
    <row r="19" customFormat="false" ht="15" hidden="false" customHeight="false" outlineLevel="0" collapsed="false">
      <c r="A19" s="5" t="s">
        <v>319</v>
      </c>
      <c r="B19" s="9" t="n">
        <v>7</v>
      </c>
      <c r="C19" s="36" t="n">
        <v>23</v>
      </c>
      <c r="D19" s="9" t="n">
        <v>0</v>
      </c>
      <c r="E19" s="9" t="n">
        <v>0</v>
      </c>
      <c r="F19" s="9" t="n">
        <v>0</v>
      </c>
      <c r="G19" s="9" t="n">
        <v>1</v>
      </c>
      <c r="H19" s="10" t="n">
        <f aca="false">SUM(B19:G19)</f>
        <v>31</v>
      </c>
    </row>
    <row r="20" customFormat="false" ht="15" hidden="false" customHeight="false" outlineLevel="0" collapsed="false">
      <c r="A20" s="5" t="s">
        <v>320</v>
      </c>
      <c r="B20" s="9" t="n">
        <v>0</v>
      </c>
      <c r="C20" s="9" t="n">
        <v>8</v>
      </c>
      <c r="D20" s="36" t="n">
        <v>23</v>
      </c>
      <c r="E20" s="9" t="n">
        <v>6</v>
      </c>
      <c r="F20" s="9" t="n">
        <v>0</v>
      </c>
      <c r="G20" s="9" t="n">
        <v>2</v>
      </c>
      <c r="H20" s="10" t="n">
        <f aca="false">SUM(B20:G20)</f>
        <v>39</v>
      </c>
    </row>
    <row r="21" customFormat="false" ht="15" hidden="false" customHeight="false" outlineLevel="0" collapsed="false">
      <c r="A21" s="5" t="s">
        <v>321</v>
      </c>
      <c r="B21" s="9" t="n">
        <v>0</v>
      </c>
      <c r="C21" s="9" t="n">
        <v>0</v>
      </c>
      <c r="D21" s="9" t="n">
        <v>2</v>
      </c>
      <c r="E21" s="36" t="n">
        <v>23</v>
      </c>
      <c r="F21" s="9" t="n">
        <v>2</v>
      </c>
      <c r="G21" s="9" t="n">
        <v>3</v>
      </c>
      <c r="H21" s="10" t="n">
        <f aca="false">SUM(B21:G21)</f>
        <v>30</v>
      </c>
    </row>
    <row r="22" customFormat="false" ht="15" hidden="false" customHeight="false" outlineLevel="0" collapsed="false">
      <c r="A22" s="5" t="s">
        <v>322</v>
      </c>
      <c r="B22" s="9" t="n">
        <v>0</v>
      </c>
      <c r="C22" s="9" t="n">
        <v>0</v>
      </c>
      <c r="D22" s="9" t="n">
        <v>0</v>
      </c>
      <c r="E22" s="9" t="n">
        <v>2</v>
      </c>
      <c r="F22" s="36" t="n">
        <v>5</v>
      </c>
      <c r="G22" s="9" t="n">
        <v>0</v>
      </c>
      <c r="H22" s="10" t="n">
        <f aca="false">SUM(B22:G22)</f>
        <v>7</v>
      </c>
    </row>
    <row r="23" customFormat="false" ht="15" hidden="false" customHeight="false" outlineLevel="0" collapsed="false">
      <c r="A23" s="5" t="s">
        <v>323</v>
      </c>
      <c r="B23" s="9" t="n">
        <v>6</v>
      </c>
      <c r="C23" s="9" t="n">
        <v>2</v>
      </c>
      <c r="D23" s="9" t="n">
        <v>0</v>
      </c>
      <c r="E23" s="9" t="n">
        <v>0</v>
      </c>
      <c r="F23" s="9" t="n">
        <v>0</v>
      </c>
      <c r="G23" s="36" t="n">
        <v>25</v>
      </c>
      <c r="H23" s="10" t="n">
        <f aca="false">SUM(B23:G23)</f>
        <v>33</v>
      </c>
    </row>
    <row r="24" customFormat="false" ht="15" hidden="false" customHeight="false" outlineLevel="0" collapsed="false">
      <c r="A24" s="5" t="s">
        <v>325</v>
      </c>
      <c r="B24" s="35" t="n">
        <f aca="false">SUM(B18:B23)</f>
        <v>23</v>
      </c>
      <c r="C24" s="35" t="n">
        <f aca="false">SUM(C18:C23)</f>
        <v>33</v>
      </c>
      <c r="D24" s="35" t="n">
        <f aca="false">SUM(D18:D23)</f>
        <v>25</v>
      </c>
      <c r="E24" s="35" t="n">
        <f aca="false">SUM(E18:E23)</f>
        <v>31</v>
      </c>
      <c r="F24" s="35" t="n">
        <f aca="false">SUM(F18:F23)</f>
        <v>7</v>
      </c>
      <c r="G24" s="35" t="n">
        <f aca="false">SUM(G18:G23)</f>
        <v>31</v>
      </c>
      <c r="H24" s="35" t="n">
        <f aca="false">SUM(H18:H23)</f>
        <v>150</v>
      </c>
    </row>
    <row r="25" customFormat="false" ht="15" hidden="false" customHeight="false" outlineLevel="0" collapsed="false">
      <c r="A25" s="2" t="s">
        <v>326</v>
      </c>
      <c r="B25" s="37" t="str">
        <f aca="false">IF(H24=150,"OK","CHECK")</f>
        <v>OK</v>
      </c>
    </row>
    <row r="27" customFormat="false" ht="15" hidden="false" customHeight="false" outlineLevel="0" collapsed="false">
      <c r="A27" s="3" t="s">
        <v>332</v>
      </c>
    </row>
    <row r="28" customFormat="false" ht="15" hidden="false" customHeight="false" outlineLevel="0" collapsed="false">
      <c r="A28" s="4" t="s">
        <v>317</v>
      </c>
      <c r="B28" s="4" t="s">
        <v>318</v>
      </c>
      <c r="C28" s="4" t="s">
        <v>319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</row>
    <row r="29" customFormat="false" ht="15" hidden="false" customHeight="false" outlineLevel="0" collapsed="false">
      <c r="A29" s="5" t="s">
        <v>318</v>
      </c>
      <c r="B29" s="36" t="n">
        <v>9</v>
      </c>
      <c r="C29" s="9" t="n">
        <v>1</v>
      </c>
      <c r="D29" s="9" t="n">
        <v>0</v>
      </c>
      <c r="E29" s="9" t="n">
        <v>0</v>
      </c>
      <c r="F29" s="9" t="n">
        <v>0</v>
      </c>
      <c r="G29" s="9" t="n">
        <v>0</v>
      </c>
      <c r="H29" s="10" t="n">
        <f aca="false">SUM(B29:G29)</f>
        <v>10</v>
      </c>
    </row>
    <row r="30" customFormat="false" ht="15" hidden="false" customHeight="false" outlineLevel="0" collapsed="false">
      <c r="A30" s="5" t="s">
        <v>319</v>
      </c>
      <c r="B30" s="9" t="n">
        <v>3</v>
      </c>
      <c r="C30" s="36" t="n">
        <v>22</v>
      </c>
      <c r="D30" s="9" t="n">
        <v>4</v>
      </c>
      <c r="E30" s="9" t="n">
        <v>0</v>
      </c>
      <c r="F30" s="9" t="n">
        <v>0</v>
      </c>
      <c r="G30" s="9" t="n">
        <v>2</v>
      </c>
      <c r="H30" s="10" t="n">
        <f aca="false">SUM(B30:G30)</f>
        <v>31</v>
      </c>
    </row>
    <row r="31" customFormat="false" ht="15" hidden="false" customHeight="false" outlineLevel="0" collapsed="false">
      <c r="A31" s="5" t="s">
        <v>320</v>
      </c>
      <c r="B31" s="9" t="n">
        <v>0</v>
      </c>
      <c r="C31" s="9" t="n">
        <v>6</v>
      </c>
      <c r="D31" s="36" t="n">
        <v>26</v>
      </c>
      <c r="E31" s="9" t="n">
        <v>5</v>
      </c>
      <c r="F31" s="9" t="n">
        <v>2</v>
      </c>
      <c r="G31" s="9" t="n">
        <v>0</v>
      </c>
      <c r="H31" s="10" t="n">
        <f aca="false">SUM(B31:G31)</f>
        <v>39</v>
      </c>
    </row>
    <row r="32" customFormat="false" ht="15" hidden="false" customHeight="false" outlineLevel="0" collapsed="false">
      <c r="A32" s="5" t="s">
        <v>321</v>
      </c>
      <c r="B32" s="9" t="n">
        <v>0</v>
      </c>
      <c r="C32" s="9" t="n">
        <v>0</v>
      </c>
      <c r="D32" s="9" t="n">
        <v>4</v>
      </c>
      <c r="E32" s="36" t="n">
        <v>22</v>
      </c>
      <c r="F32" s="9" t="n">
        <v>4</v>
      </c>
      <c r="G32" s="9" t="n">
        <v>0</v>
      </c>
      <c r="H32" s="10" t="n">
        <f aca="false">SUM(B32:G32)</f>
        <v>30</v>
      </c>
    </row>
    <row r="33" customFormat="false" ht="15" hidden="false" customHeight="false" outlineLevel="0" collapsed="false">
      <c r="A33" s="5" t="s">
        <v>322</v>
      </c>
      <c r="B33" s="9" t="n">
        <v>0</v>
      </c>
      <c r="C33" s="9" t="n">
        <v>0</v>
      </c>
      <c r="D33" s="9" t="n">
        <v>0</v>
      </c>
      <c r="E33" s="9" t="n">
        <v>0</v>
      </c>
      <c r="F33" s="36" t="n">
        <v>7</v>
      </c>
      <c r="G33" s="9" t="n">
        <v>0</v>
      </c>
      <c r="H33" s="10" t="n">
        <f aca="false">SUM(B33:G33)</f>
        <v>7</v>
      </c>
    </row>
    <row r="34" customFormat="false" ht="15" hidden="false" customHeight="false" outlineLevel="0" collapsed="false">
      <c r="A34" s="5" t="s">
        <v>323</v>
      </c>
      <c r="B34" s="9" t="n">
        <v>3</v>
      </c>
      <c r="C34" s="9" t="n">
        <v>3</v>
      </c>
      <c r="D34" s="9" t="n">
        <v>0</v>
      </c>
      <c r="E34" s="9" t="n">
        <v>0</v>
      </c>
      <c r="F34" s="9" t="n">
        <v>0</v>
      </c>
      <c r="G34" s="36" t="n">
        <v>27</v>
      </c>
      <c r="H34" s="10" t="n">
        <f aca="false">SUM(B34:G34)</f>
        <v>33</v>
      </c>
    </row>
    <row r="35" customFormat="false" ht="15" hidden="false" customHeight="false" outlineLevel="0" collapsed="false">
      <c r="A35" s="5" t="s">
        <v>325</v>
      </c>
      <c r="B35" s="35" t="n">
        <f aca="false">SUM(B29:B34)</f>
        <v>15</v>
      </c>
      <c r="C35" s="35" t="n">
        <f aca="false">SUM(C29:C34)</f>
        <v>32</v>
      </c>
      <c r="D35" s="35" t="n">
        <f aca="false">SUM(D29:D34)</f>
        <v>34</v>
      </c>
      <c r="E35" s="35" t="n">
        <f aca="false">SUM(E29:E34)</f>
        <v>27</v>
      </c>
      <c r="F35" s="35" t="n">
        <f aca="false">SUM(F29:F34)</f>
        <v>13</v>
      </c>
      <c r="G35" s="35" t="n">
        <f aca="false">SUM(G29:G34)</f>
        <v>29</v>
      </c>
      <c r="H35" s="35" t="n">
        <f aca="false">SUM(H29:H34)</f>
        <v>150</v>
      </c>
    </row>
    <row r="36" customFormat="false" ht="15" hidden="false" customHeight="false" outlineLevel="0" collapsed="false">
      <c r="A36" s="2" t="s">
        <v>326</v>
      </c>
      <c r="B36" s="37" t="str">
        <f aca="false">IF(H35=150,"OK","CHECK")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2" t="s">
        <v>315</v>
      </c>
    </row>
    <row r="3" customFormat="false" ht="15" hidden="false" customHeight="false" outlineLevel="0" collapsed="false">
      <c r="A3" s="2" t="s">
        <v>334</v>
      </c>
    </row>
    <row r="5" customFormat="false" ht="15" hidden="false" customHeight="false" outlineLevel="0" collapsed="false">
      <c r="A5" s="3" t="s">
        <v>335</v>
      </c>
    </row>
    <row r="6" customFormat="false" ht="15" hidden="false" customHeight="false" outlineLevel="0" collapsed="false">
      <c r="A6" s="4" t="s">
        <v>317</v>
      </c>
      <c r="B6" s="4" t="s">
        <v>318</v>
      </c>
      <c r="C6" s="4" t="s">
        <v>319</v>
      </c>
      <c r="D6" s="4" t="s">
        <v>320</v>
      </c>
      <c r="E6" s="4" t="s">
        <v>321</v>
      </c>
      <c r="F6" s="4" t="s">
        <v>322</v>
      </c>
      <c r="G6" s="4" t="s">
        <v>323</v>
      </c>
      <c r="H6" s="4" t="s">
        <v>324</v>
      </c>
    </row>
    <row r="7" customFormat="false" ht="15" hidden="false" customHeight="false" outlineLevel="0" collapsed="false">
      <c r="A7" s="5" t="s">
        <v>318</v>
      </c>
      <c r="B7" s="36" t="n">
        <v>12</v>
      </c>
      <c r="C7" s="9" t="n">
        <v>4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SUM(B7:G7)</f>
        <v>16</v>
      </c>
    </row>
    <row r="8" customFormat="false" ht="15" hidden="false" customHeight="false" outlineLevel="0" collapsed="false">
      <c r="A8" s="5" t="s">
        <v>319</v>
      </c>
      <c r="B8" s="9" t="n">
        <v>4</v>
      </c>
      <c r="C8" s="36" t="n">
        <v>21</v>
      </c>
      <c r="D8" s="9" t="n">
        <v>2</v>
      </c>
      <c r="E8" s="9" t="n">
        <v>0</v>
      </c>
      <c r="F8" s="9" t="n">
        <v>0</v>
      </c>
      <c r="G8" s="9" t="n">
        <v>4</v>
      </c>
      <c r="H8" s="10" t="n">
        <f aca="false">SUM(B8:G8)</f>
        <v>31</v>
      </c>
    </row>
    <row r="9" customFormat="false" ht="15" hidden="false" customHeight="false" outlineLevel="0" collapsed="false">
      <c r="A9" s="5" t="s">
        <v>320</v>
      </c>
      <c r="B9" s="9" t="n">
        <v>0</v>
      </c>
      <c r="C9" s="9" t="n">
        <v>8</v>
      </c>
      <c r="D9" s="36" t="n">
        <v>11</v>
      </c>
      <c r="E9" s="9" t="n">
        <v>2</v>
      </c>
      <c r="F9" s="9" t="n">
        <v>0</v>
      </c>
      <c r="G9" s="9" t="n">
        <v>7</v>
      </c>
      <c r="H9" s="10" t="n">
        <f aca="false">SUM(B9:G9)</f>
        <v>28</v>
      </c>
    </row>
    <row r="10" customFormat="false" ht="15" hidden="false" customHeight="false" outlineLevel="0" collapsed="false">
      <c r="A10" s="5" t="s">
        <v>321</v>
      </c>
      <c r="B10" s="9" t="n">
        <v>0</v>
      </c>
      <c r="C10" s="9" t="n">
        <v>2</v>
      </c>
      <c r="D10" s="9" t="n">
        <v>5</v>
      </c>
      <c r="E10" s="36" t="n">
        <v>10</v>
      </c>
      <c r="F10" s="9" t="n">
        <v>2</v>
      </c>
      <c r="G10" s="9" t="n">
        <v>17</v>
      </c>
      <c r="H10" s="10" t="n">
        <f aca="false">SUM(B10:G10)</f>
        <v>36</v>
      </c>
    </row>
    <row r="11" customFormat="false" ht="15" hidden="false" customHeight="false" outlineLevel="0" collapsed="false">
      <c r="A11" s="5" t="s">
        <v>322</v>
      </c>
      <c r="B11" s="9" t="n">
        <v>0</v>
      </c>
      <c r="C11" s="9" t="n">
        <v>0</v>
      </c>
      <c r="D11" s="9" t="n">
        <v>2</v>
      </c>
      <c r="E11" s="9" t="n">
        <v>2</v>
      </c>
      <c r="F11" s="36" t="n">
        <v>5</v>
      </c>
      <c r="G11" s="9" t="n">
        <v>1</v>
      </c>
      <c r="H11" s="10" t="n">
        <f aca="false">SUM(B11:G11)</f>
        <v>10</v>
      </c>
    </row>
    <row r="12" customFormat="false" ht="15" hidden="false" customHeight="false" outlineLevel="0" collapsed="false">
      <c r="A12" s="5" t="s">
        <v>323</v>
      </c>
      <c r="B12" s="9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36" t="n">
        <v>27</v>
      </c>
      <c r="H12" s="10" t="n">
        <f aca="false">SUM(B12:G12)</f>
        <v>29</v>
      </c>
    </row>
    <row r="13" customFormat="false" ht="15" hidden="false" customHeight="false" outlineLevel="0" collapsed="false">
      <c r="A13" s="5" t="s">
        <v>325</v>
      </c>
      <c r="B13" s="35" t="n">
        <f aca="false">SUM(B7:B12)</f>
        <v>18</v>
      </c>
      <c r="C13" s="35" t="n">
        <f aca="false">SUM(C7:C12)</f>
        <v>35</v>
      </c>
      <c r="D13" s="35" t="n">
        <f aca="false">SUM(D7:D12)</f>
        <v>20</v>
      </c>
      <c r="E13" s="35" t="n">
        <f aca="false">SUM(E7:E12)</f>
        <v>14</v>
      </c>
      <c r="F13" s="35" t="n">
        <f aca="false">SUM(F7:F12)</f>
        <v>7</v>
      </c>
      <c r="G13" s="35" t="n">
        <f aca="false">SUM(G7:G12)</f>
        <v>56</v>
      </c>
      <c r="H13" s="35" t="n">
        <f aca="false">SUM(H7:H12)</f>
        <v>150</v>
      </c>
    </row>
    <row r="14" customFormat="false" ht="15" hidden="false" customHeight="false" outlineLevel="0" collapsed="false">
      <c r="A14" s="2" t="s">
        <v>326</v>
      </c>
      <c r="B14" s="37" t="str">
        <f aca="false">IF(H13=150,"OK","CHECK")</f>
        <v>OK</v>
      </c>
    </row>
    <row r="16" customFormat="false" ht="15" hidden="false" customHeight="false" outlineLevel="0" collapsed="false">
      <c r="A16" s="3" t="s">
        <v>336</v>
      </c>
    </row>
    <row r="17" customFormat="false" ht="15" hidden="false" customHeight="false" outlineLevel="0" collapsed="false">
      <c r="A17" s="4" t="s">
        <v>317</v>
      </c>
      <c r="B17" s="4" t="s">
        <v>318</v>
      </c>
      <c r="C17" s="4" t="s">
        <v>319</v>
      </c>
      <c r="D17" s="4" t="s">
        <v>320</v>
      </c>
      <c r="E17" s="4" t="s">
        <v>321</v>
      </c>
      <c r="F17" s="4" t="s">
        <v>322</v>
      </c>
      <c r="G17" s="4" t="s">
        <v>323</v>
      </c>
      <c r="H17" s="4" t="s">
        <v>324</v>
      </c>
    </row>
    <row r="18" customFormat="false" ht="15" hidden="false" customHeight="false" outlineLevel="0" collapsed="false">
      <c r="A18" s="5" t="s">
        <v>318</v>
      </c>
      <c r="B18" s="36" t="n">
        <v>15</v>
      </c>
      <c r="C18" s="9" t="n">
        <v>1</v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f aca="false">SUM(B18:G18)</f>
        <v>16</v>
      </c>
    </row>
    <row r="19" customFormat="false" ht="15" hidden="false" customHeight="false" outlineLevel="0" collapsed="false">
      <c r="A19" s="5" t="s">
        <v>319</v>
      </c>
      <c r="B19" s="9" t="n">
        <v>8</v>
      </c>
      <c r="C19" s="36" t="n">
        <v>17</v>
      </c>
      <c r="D19" s="9" t="n">
        <v>1</v>
      </c>
      <c r="E19" s="9" t="n">
        <v>0</v>
      </c>
      <c r="F19" s="9" t="n">
        <v>0</v>
      </c>
      <c r="G19" s="9" t="n">
        <v>5</v>
      </c>
      <c r="H19" s="10" t="n">
        <f aca="false">SUM(B19:G19)</f>
        <v>31</v>
      </c>
    </row>
    <row r="20" customFormat="false" ht="15" hidden="false" customHeight="false" outlineLevel="0" collapsed="false">
      <c r="A20" s="5" t="s">
        <v>320</v>
      </c>
      <c r="B20" s="9" t="n">
        <v>0</v>
      </c>
      <c r="C20" s="9" t="n">
        <v>4</v>
      </c>
      <c r="D20" s="36" t="n">
        <v>16</v>
      </c>
      <c r="E20" s="9" t="n">
        <v>0</v>
      </c>
      <c r="F20" s="9" t="n">
        <v>0</v>
      </c>
      <c r="G20" s="9" t="n">
        <v>8</v>
      </c>
      <c r="H20" s="10" t="n">
        <f aca="false">SUM(B20:G20)</f>
        <v>28</v>
      </c>
    </row>
    <row r="21" customFormat="false" ht="15" hidden="false" customHeight="false" outlineLevel="0" collapsed="false">
      <c r="A21" s="5" t="s">
        <v>321</v>
      </c>
      <c r="B21" s="9" t="n">
        <v>0</v>
      </c>
      <c r="C21" s="9" t="n">
        <v>2</v>
      </c>
      <c r="D21" s="9" t="n">
        <v>3</v>
      </c>
      <c r="E21" s="36" t="n">
        <v>15</v>
      </c>
      <c r="F21" s="9" t="n">
        <v>0</v>
      </c>
      <c r="G21" s="9" t="n">
        <v>16</v>
      </c>
      <c r="H21" s="10" t="n">
        <f aca="false">SUM(B21:G21)</f>
        <v>36</v>
      </c>
    </row>
    <row r="22" customFormat="false" ht="15" hidden="false" customHeight="false" outlineLevel="0" collapsed="false">
      <c r="A22" s="5" t="s">
        <v>322</v>
      </c>
      <c r="B22" s="9" t="n">
        <v>0</v>
      </c>
      <c r="C22" s="9" t="n">
        <v>0</v>
      </c>
      <c r="D22" s="9" t="n">
        <v>0</v>
      </c>
      <c r="E22" s="9" t="n">
        <v>3</v>
      </c>
      <c r="F22" s="36" t="n">
        <v>7</v>
      </c>
      <c r="G22" s="9" t="n">
        <v>0</v>
      </c>
      <c r="H22" s="10" t="n">
        <f aca="false">SUM(B22:G22)</f>
        <v>10</v>
      </c>
    </row>
    <row r="23" customFormat="false" ht="15" hidden="false" customHeight="false" outlineLevel="0" collapsed="false">
      <c r="A23" s="5" t="s">
        <v>323</v>
      </c>
      <c r="B23" s="9" t="n">
        <v>0</v>
      </c>
      <c r="C23" s="9" t="n">
        <v>1</v>
      </c>
      <c r="D23" s="9" t="n">
        <v>0</v>
      </c>
      <c r="E23" s="9" t="n">
        <v>0</v>
      </c>
      <c r="F23" s="9" t="n">
        <v>0</v>
      </c>
      <c r="G23" s="36" t="n">
        <v>28</v>
      </c>
      <c r="H23" s="10" t="n">
        <f aca="false">SUM(B23:G23)</f>
        <v>29</v>
      </c>
    </row>
    <row r="24" customFormat="false" ht="15" hidden="false" customHeight="false" outlineLevel="0" collapsed="false">
      <c r="A24" s="5" t="s">
        <v>325</v>
      </c>
      <c r="B24" s="35" t="n">
        <f aca="false">SUM(B18:B23)</f>
        <v>23</v>
      </c>
      <c r="C24" s="35" t="n">
        <f aca="false">SUM(C18:C23)</f>
        <v>25</v>
      </c>
      <c r="D24" s="35" t="n">
        <f aca="false">SUM(D18:D23)</f>
        <v>20</v>
      </c>
      <c r="E24" s="35" t="n">
        <f aca="false">SUM(E18:E23)</f>
        <v>18</v>
      </c>
      <c r="F24" s="35" t="n">
        <f aca="false">SUM(F18:F23)</f>
        <v>7</v>
      </c>
      <c r="G24" s="35" t="n">
        <f aca="false">SUM(G18:G23)</f>
        <v>57</v>
      </c>
      <c r="H24" s="35" t="n">
        <f aca="false">SUM(H18:H23)</f>
        <v>150</v>
      </c>
    </row>
    <row r="25" customFormat="false" ht="15" hidden="false" customHeight="false" outlineLevel="0" collapsed="false">
      <c r="A25" s="2" t="s">
        <v>326</v>
      </c>
      <c r="B25" s="37" t="str">
        <f aca="false">IF(H24=150,"OK","CHECK")</f>
        <v>OK</v>
      </c>
    </row>
    <row r="27" customFormat="false" ht="15" hidden="false" customHeight="false" outlineLevel="0" collapsed="false">
      <c r="A27" s="3" t="s">
        <v>337</v>
      </c>
    </row>
    <row r="28" customFormat="false" ht="15" hidden="false" customHeight="false" outlineLevel="0" collapsed="false">
      <c r="A28" s="4" t="s">
        <v>317</v>
      </c>
      <c r="B28" s="4" t="s">
        <v>318</v>
      </c>
      <c r="C28" s="4" t="s">
        <v>319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</row>
    <row r="29" customFormat="false" ht="15" hidden="false" customHeight="false" outlineLevel="0" collapsed="false">
      <c r="A29" s="5" t="s">
        <v>318</v>
      </c>
      <c r="B29" s="36" t="n">
        <v>16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10" t="n">
        <f aca="false">SUM(B29:G29)</f>
        <v>16</v>
      </c>
    </row>
    <row r="30" customFormat="false" ht="15" hidden="false" customHeight="false" outlineLevel="0" collapsed="false">
      <c r="A30" s="5" t="s">
        <v>319</v>
      </c>
      <c r="B30" s="9" t="n">
        <v>0</v>
      </c>
      <c r="C30" s="36" t="n">
        <v>23</v>
      </c>
      <c r="D30" s="9" t="n">
        <v>3</v>
      </c>
      <c r="E30" s="9" t="n">
        <v>0</v>
      </c>
      <c r="F30" s="9" t="n">
        <v>0</v>
      </c>
      <c r="G30" s="9" t="n">
        <v>5</v>
      </c>
      <c r="H30" s="10" t="n">
        <f aca="false">SUM(B30:G30)</f>
        <v>31</v>
      </c>
    </row>
    <row r="31" customFormat="false" ht="15" hidden="false" customHeight="false" outlineLevel="0" collapsed="false">
      <c r="A31" s="5" t="s">
        <v>320</v>
      </c>
      <c r="B31" s="9" t="n">
        <v>0</v>
      </c>
      <c r="C31" s="9" t="n">
        <v>3</v>
      </c>
      <c r="D31" s="36" t="n">
        <v>10</v>
      </c>
      <c r="E31" s="9" t="n">
        <v>2</v>
      </c>
      <c r="F31" s="9" t="n">
        <v>0</v>
      </c>
      <c r="G31" s="9" t="n">
        <v>13</v>
      </c>
      <c r="H31" s="10" t="n">
        <f aca="false">SUM(B31:G31)</f>
        <v>28</v>
      </c>
    </row>
    <row r="32" customFormat="false" ht="15" hidden="false" customHeight="false" outlineLevel="0" collapsed="false">
      <c r="A32" s="5" t="s">
        <v>321</v>
      </c>
      <c r="B32" s="9" t="n">
        <v>0</v>
      </c>
      <c r="C32" s="9" t="n">
        <v>2</v>
      </c>
      <c r="D32" s="9" t="n">
        <v>4</v>
      </c>
      <c r="E32" s="36" t="n">
        <v>10</v>
      </c>
      <c r="F32" s="9" t="n">
        <v>2</v>
      </c>
      <c r="G32" s="9" t="n">
        <v>18</v>
      </c>
      <c r="H32" s="10" t="n">
        <f aca="false">SUM(B32:G32)</f>
        <v>36</v>
      </c>
    </row>
    <row r="33" customFormat="false" ht="15" hidden="false" customHeight="false" outlineLevel="0" collapsed="false">
      <c r="A33" s="5" t="s">
        <v>322</v>
      </c>
      <c r="B33" s="9" t="n">
        <v>0</v>
      </c>
      <c r="C33" s="9" t="n">
        <v>0</v>
      </c>
      <c r="D33" s="9" t="n">
        <v>2</v>
      </c>
      <c r="E33" s="9" t="n">
        <v>2</v>
      </c>
      <c r="F33" s="36" t="n">
        <v>5</v>
      </c>
      <c r="G33" s="9" t="n">
        <v>1</v>
      </c>
      <c r="H33" s="10" t="n">
        <f aca="false">SUM(B33:G33)</f>
        <v>10</v>
      </c>
    </row>
    <row r="34" customFormat="false" ht="15" hidden="false" customHeight="false" outlineLevel="0" collapsed="false">
      <c r="A34" s="5" t="s">
        <v>323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36" t="n">
        <v>29</v>
      </c>
      <c r="H34" s="10" t="n">
        <f aca="false">SUM(B34:G34)</f>
        <v>29</v>
      </c>
    </row>
    <row r="35" customFormat="false" ht="15" hidden="false" customHeight="false" outlineLevel="0" collapsed="false">
      <c r="A35" s="5" t="s">
        <v>325</v>
      </c>
      <c r="B35" s="35" t="n">
        <f aca="false">SUM(B29:B34)</f>
        <v>16</v>
      </c>
      <c r="C35" s="35" t="n">
        <f aca="false">SUM(C29:C34)</f>
        <v>28</v>
      </c>
      <c r="D35" s="35" t="n">
        <f aca="false">SUM(D29:D34)</f>
        <v>19</v>
      </c>
      <c r="E35" s="35" t="n">
        <f aca="false">SUM(E29:E34)</f>
        <v>14</v>
      </c>
      <c r="F35" s="35" t="n">
        <f aca="false">SUM(F29:F34)</f>
        <v>7</v>
      </c>
      <c r="G35" s="35" t="n">
        <f aca="false">SUM(G29:G34)</f>
        <v>66</v>
      </c>
      <c r="H35" s="35" t="n">
        <f aca="false">SUM(H29:H34)</f>
        <v>150</v>
      </c>
    </row>
    <row r="36" customFormat="false" ht="15" hidden="false" customHeight="false" outlineLevel="0" collapsed="false">
      <c r="A36" s="2" t="s">
        <v>326</v>
      </c>
      <c r="B36" s="37" t="str">
        <f aca="false">IF(H35=150,"OK","CHECK")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2" t="s">
        <v>315</v>
      </c>
    </row>
    <row r="3" customFormat="false" ht="15" hidden="false" customHeight="false" outlineLevel="0" collapsed="false">
      <c r="A3" s="2" t="s">
        <v>334</v>
      </c>
    </row>
    <row r="5" customFormat="false" ht="15" hidden="false" customHeight="false" outlineLevel="0" collapsed="false">
      <c r="A5" s="3" t="s">
        <v>339</v>
      </c>
    </row>
    <row r="6" customFormat="false" ht="15" hidden="false" customHeight="false" outlineLevel="0" collapsed="false">
      <c r="A6" s="4" t="s">
        <v>317</v>
      </c>
      <c r="B6" s="4" t="s">
        <v>318</v>
      </c>
      <c r="C6" s="4" t="s">
        <v>319</v>
      </c>
      <c r="D6" s="4" t="s">
        <v>320</v>
      </c>
      <c r="E6" s="4" t="s">
        <v>321</v>
      </c>
      <c r="F6" s="4" t="s">
        <v>322</v>
      </c>
      <c r="G6" s="4" t="s">
        <v>323</v>
      </c>
      <c r="H6" s="4" t="s">
        <v>324</v>
      </c>
    </row>
    <row r="7" customFormat="false" ht="15" hidden="false" customHeight="false" outlineLevel="0" collapsed="false">
      <c r="A7" s="5" t="s">
        <v>318</v>
      </c>
      <c r="B7" s="36" t="n">
        <v>14</v>
      </c>
      <c r="C7" s="9" t="n">
        <v>2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SUM(B7:G7)</f>
        <v>16</v>
      </c>
    </row>
    <row r="8" customFormat="false" ht="15" hidden="false" customHeight="false" outlineLevel="0" collapsed="false">
      <c r="A8" s="5" t="s">
        <v>319</v>
      </c>
      <c r="B8" s="9" t="n">
        <v>5</v>
      </c>
      <c r="C8" s="36" t="n">
        <v>24</v>
      </c>
      <c r="D8" s="9" t="n">
        <v>2</v>
      </c>
      <c r="E8" s="9" t="n">
        <v>0</v>
      </c>
      <c r="F8" s="9" t="n">
        <v>0</v>
      </c>
      <c r="G8" s="9" t="n">
        <v>0</v>
      </c>
      <c r="H8" s="10" t="n">
        <f aca="false">SUM(B8:G8)</f>
        <v>31</v>
      </c>
    </row>
    <row r="9" customFormat="false" ht="15" hidden="false" customHeight="false" outlineLevel="0" collapsed="false">
      <c r="A9" s="5" t="s">
        <v>320</v>
      </c>
      <c r="B9" s="9" t="n">
        <v>0</v>
      </c>
      <c r="C9" s="9" t="n">
        <v>3</v>
      </c>
      <c r="D9" s="36" t="n">
        <v>23</v>
      </c>
      <c r="E9" s="9" t="n">
        <v>2</v>
      </c>
      <c r="F9" s="9" t="n">
        <v>0</v>
      </c>
      <c r="G9" s="9" t="n">
        <v>0</v>
      </c>
      <c r="H9" s="10" t="n">
        <f aca="false">SUM(B9:G9)</f>
        <v>28</v>
      </c>
    </row>
    <row r="10" customFormat="false" ht="15" hidden="false" customHeight="false" outlineLevel="0" collapsed="false">
      <c r="A10" s="5" t="s">
        <v>321</v>
      </c>
      <c r="B10" s="9" t="n">
        <v>0</v>
      </c>
      <c r="C10" s="9" t="n">
        <v>1</v>
      </c>
      <c r="D10" s="9" t="n">
        <v>4</v>
      </c>
      <c r="E10" s="36" t="n">
        <v>29</v>
      </c>
      <c r="F10" s="9" t="n">
        <v>2</v>
      </c>
      <c r="G10" s="9" t="n">
        <v>0</v>
      </c>
      <c r="H10" s="10" t="n">
        <f aca="false">SUM(B10:G10)</f>
        <v>36</v>
      </c>
    </row>
    <row r="11" customFormat="false" ht="15" hidden="false" customHeight="false" outlineLevel="0" collapsed="false">
      <c r="A11" s="5" t="s">
        <v>322</v>
      </c>
      <c r="B11" s="9" t="n">
        <v>0</v>
      </c>
      <c r="C11" s="9" t="n">
        <v>0</v>
      </c>
      <c r="D11" s="9" t="n">
        <v>0</v>
      </c>
      <c r="E11" s="9" t="n">
        <v>2</v>
      </c>
      <c r="F11" s="36" t="n">
        <v>8</v>
      </c>
      <c r="G11" s="9" t="n">
        <v>0</v>
      </c>
      <c r="H11" s="10" t="n">
        <f aca="false">SUM(B11:G11)</f>
        <v>10</v>
      </c>
    </row>
    <row r="12" customFormat="false" ht="15" hidden="false" customHeight="false" outlineLevel="0" collapsed="false">
      <c r="A12" s="5" t="s">
        <v>323</v>
      </c>
      <c r="B12" s="9" t="n">
        <v>1</v>
      </c>
      <c r="C12" s="9" t="n">
        <v>3</v>
      </c>
      <c r="D12" s="9" t="n">
        <v>0</v>
      </c>
      <c r="E12" s="9" t="n">
        <v>0</v>
      </c>
      <c r="F12" s="9" t="n">
        <v>0</v>
      </c>
      <c r="G12" s="36" t="n">
        <v>25</v>
      </c>
      <c r="H12" s="10" t="n">
        <f aca="false">SUM(B12:G12)</f>
        <v>29</v>
      </c>
    </row>
    <row r="13" customFormat="false" ht="15" hidden="false" customHeight="false" outlineLevel="0" collapsed="false">
      <c r="A13" s="5" t="s">
        <v>325</v>
      </c>
      <c r="B13" s="35" t="n">
        <f aca="false">SUM(B7:B12)</f>
        <v>20</v>
      </c>
      <c r="C13" s="35" t="n">
        <f aca="false">SUM(C7:C12)</f>
        <v>33</v>
      </c>
      <c r="D13" s="35" t="n">
        <f aca="false">SUM(D7:D12)</f>
        <v>29</v>
      </c>
      <c r="E13" s="35" t="n">
        <f aca="false">SUM(E7:E12)</f>
        <v>33</v>
      </c>
      <c r="F13" s="35" t="n">
        <f aca="false">SUM(F7:F12)</f>
        <v>10</v>
      </c>
      <c r="G13" s="35" t="n">
        <f aca="false">SUM(G7:G12)</f>
        <v>25</v>
      </c>
      <c r="H13" s="35" t="n">
        <f aca="false">SUM(H7:H12)</f>
        <v>150</v>
      </c>
    </row>
    <row r="14" customFormat="false" ht="15" hidden="false" customHeight="false" outlineLevel="0" collapsed="false">
      <c r="A14" s="2" t="s">
        <v>326</v>
      </c>
      <c r="B14" s="37" t="str">
        <f aca="false">IF(H13=150,"OK","CHECK")</f>
        <v>OK</v>
      </c>
    </row>
    <row r="16" customFormat="false" ht="15" hidden="false" customHeight="false" outlineLevel="0" collapsed="false">
      <c r="A16" s="3" t="s">
        <v>340</v>
      </c>
    </row>
    <row r="17" customFormat="false" ht="15" hidden="false" customHeight="false" outlineLevel="0" collapsed="false">
      <c r="A17" s="4" t="s">
        <v>317</v>
      </c>
      <c r="B17" s="4" t="s">
        <v>318</v>
      </c>
      <c r="C17" s="4" t="s">
        <v>319</v>
      </c>
      <c r="D17" s="4" t="s">
        <v>320</v>
      </c>
      <c r="E17" s="4" t="s">
        <v>321</v>
      </c>
      <c r="F17" s="4" t="s">
        <v>322</v>
      </c>
      <c r="G17" s="4" t="s">
        <v>323</v>
      </c>
      <c r="H17" s="4" t="s">
        <v>324</v>
      </c>
    </row>
    <row r="18" customFormat="false" ht="15" hidden="false" customHeight="false" outlineLevel="0" collapsed="false">
      <c r="A18" s="5" t="s">
        <v>318</v>
      </c>
      <c r="B18" s="36" t="n">
        <v>14</v>
      </c>
      <c r="C18" s="9" t="n">
        <v>2</v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f aca="false">SUM(B18:G18)</f>
        <v>16</v>
      </c>
    </row>
    <row r="19" customFormat="false" ht="15" hidden="false" customHeight="false" outlineLevel="0" collapsed="false">
      <c r="A19" s="5" t="s">
        <v>319</v>
      </c>
      <c r="B19" s="9" t="n">
        <v>6</v>
      </c>
      <c r="C19" s="36" t="n">
        <v>25</v>
      </c>
      <c r="D19" s="9" t="n">
        <v>0</v>
      </c>
      <c r="E19" s="9" t="n">
        <v>0</v>
      </c>
      <c r="F19" s="9" t="n">
        <v>0</v>
      </c>
      <c r="G19" s="9" t="n">
        <v>0</v>
      </c>
      <c r="H19" s="10" t="n">
        <f aca="false">SUM(B19:G19)</f>
        <v>31</v>
      </c>
    </row>
    <row r="20" customFormat="false" ht="15" hidden="false" customHeight="false" outlineLevel="0" collapsed="false">
      <c r="A20" s="5" t="s">
        <v>320</v>
      </c>
      <c r="B20" s="9" t="n">
        <v>0</v>
      </c>
      <c r="C20" s="9" t="n">
        <v>4</v>
      </c>
      <c r="D20" s="36" t="n">
        <v>22</v>
      </c>
      <c r="E20" s="9" t="n">
        <v>0</v>
      </c>
      <c r="F20" s="9" t="n">
        <v>0</v>
      </c>
      <c r="G20" s="9" t="n">
        <v>2</v>
      </c>
      <c r="H20" s="10" t="n">
        <f aca="false">SUM(B20:G20)</f>
        <v>28</v>
      </c>
    </row>
    <row r="21" customFormat="false" ht="15" hidden="false" customHeight="false" outlineLevel="0" collapsed="false">
      <c r="A21" s="5" t="s">
        <v>321</v>
      </c>
      <c r="B21" s="9" t="n">
        <v>0</v>
      </c>
      <c r="C21" s="9" t="n">
        <v>2</v>
      </c>
      <c r="D21" s="9" t="n">
        <v>3</v>
      </c>
      <c r="E21" s="36" t="n">
        <v>28</v>
      </c>
      <c r="F21" s="9" t="n">
        <v>0</v>
      </c>
      <c r="G21" s="9" t="n">
        <v>3</v>
      </c>
      <c r="H21" s="10" t="n">
        <f aca="false">SUM(B21:G21)</f>
        <v>36</v>
      </c>
    </row>
    <row r="22" customFormat="false" ht="15" hidden="false" customHeight="false" outlineLevel="0" collapsed="false">
      <c r="A22" s="5" t="s">
        <v>322</v>
      </c>
      <c r="B22" s="9" t="n">
        <v>0</v>
      </c>
      <c r="C22" s="9" t="n">
        <v>0</v>
      </c>
      <c r="D22" s="9" t="n">
        <v>0</v>
      </c>
      <c r="E22" s="9" t="n">
        <v>3</v>
      </c>
      <c r="F22" s="36" t="n">
        <v>7</v>
      </c>
      <c r="G22" s="9" t="n">
        <v>0</v>
      </c>
      <c r="H22" s="10" t="n">
        <f aca="false">SUM(B22:G22)</f>
        <v>10</v>
      </c>
    </row>
    <row r="23" customFormat="false" ht="15" hidden="false" customHeight="false" outlineLevel="0" collapsed="false">
      <c r="A23" s="5" t="s">
        <v>323</v>
      </c>
      <c r="B23" s="9" t="n">
        <v>3</v>
      </c>
      <c r="C23" s="9" t="n">
        <v>0</v>
      </c>
      <c r="D23" s="9" t="n">
        <v>0</v>
      </c>
      <c r="E23" s="9" t="n">
        <v>0</v>
      </c>
      <c r="F23" s="9" t="n">
        <v>0</v>
      </c>
      <c r="G23" s="36" t="n">
        <v>26</v>
      </c>
      <c r="H23" s="10" t="n">
        <f aca="false">SUM(B23:G23)</f>
        <v>29</v>
      </c>
    </row>
    <row r="24" customFormat="false" ht="15" hidden="false" customHeight="false" outlineLevel="0" collapsed="false">
      <c r="A24" s="5" t="s">
        <v>325</v>
      </c>
      <c r="B24" s="35" t="n">
        <f aca="false">SUM(B18:B23)</f>
        <v>23</v>
      </c>
      <c r="C24" s="35" t="n">
        <f aca="false">SUM(C18:C23)</f>
        <v>33</v>
      </c>
      <c r="D24" s="35" t="n">
        <f aca="false">SUM(D18:D23)</f>
        <v>25</v>
      </c>
      <c r="E24" s="35" t="n">
        <f aca="false">SUM(E18:E23)</f>
        <v>31</v>
      </c>
      <c r="F24" s="35" t="n">
        <f aca="false">SUM(F18:F23)</f>
        <v>7</v>
      </c>
      <c r="G24" s="35" t="n">
        <f aca="false">SUM(G18:G23)</f>
        <v>31</v>
      </c>
      <c r="H24" s="35" t="n">
        <f aca="false">SUM(H18:H23)</f>
        <v>150</v>
      </c>
    </row>
    <row r="25" customFormat="false" ht="15" hidden="false" customHeight="false" outlineLevel="0" collapsed="false">
      <c r="A25" s="2" t="s">
        <v>326</v>
      </c>
      <c r="B25" s="37" t="str">
        <f aca="false">IF(H24=150,"OK","CHECK")</f>
        <v>OK</v>
      </c>
    </row>
    <row r="27" customFormat="false" ht="15" hidden="false" customHeight="false" outlineLevel="0" collapsed="false">
      <c r="A27" s="3" t="s">
        <v>341</v>
      </c>
    </row>
    <row r="28" customFormat="false" ht="15" hidden="false" customHeight="false" outlineLevel="0" collapsed="false">
      <c r="A28" s="4" t="s">
        <v>317</v>
      </c>
      <c r="B28" s="4" t="s">
        <v>318</v>
      </c>
      <c r="C28" s="4" t="s">
        <v>319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</row>
    <row r="29" customFormat="false" ht="15" hidden="false" customHeight="false" outlineLevel="0" collapsed="false">
      <c r="A29" s="5" t="s">
        <v>318</v>
      </c>
      <c r="B29" s="36" t="n">
        <v>15</v>
      </c>
      <c r="C29" s="9" t="n">
        <v>1</v>
      </c>
      <c r="D29" s="9" t="n">
        <v>0</v>
      </c>
      <c r="E29" s="9" t="n">
        <v>0</v>
      </c>
      <c r="F29" s="9" t="n">
        <v>0</v>
      </c>
      <c r="G29" s="9" t="n">
        <v>0</v>
      </c>
      <c r="H29" s="10" t="n">
        <f aca="false">SUM(B29:G29)</f>
        <v>16</v>
      </c>
    </row>
    <row r="30" customFormat="false" ht="15" hidden="false" customHeight="false" outlineLevel="0" collapsed="false">
      <c r="A30" s="5" t="s">
        <v>319</v>
      </c>
      <c r="B30" s="9" t="n">
        <v>0</v>
      </c>
      <c r="C30" s="36" t="n">
        <v>27</v>
      </c>
      <c r="D30" s="9" t="n">
        <v>4</v>
      </c>
      <c r="E30" s="9" t="n">
        <v>0</v>
      </c>
      <c r="F30" s="9" t="n">
        <v>0</v>
      </c>
      <c r="G30" s="9" t="n">
        <v>0</v>
      </c>
      <c r="H30" s="10" t="n">
        <f aca="false">SUM(B30:G30)</f>
        <v>31</v>
      </c>
    </row>
    <row r="31" customFormat="false" ht="15" hidden="false" customHeight="false" outlineLevel="0" collapsed="false">
      <c r="A31" s="5" t="s">
        <v>320</v>
      </c>
      <c r="B31" s="9" t="n">
        <v>0</v>
      </c>
      <c r="C31" s="9" t="n">
        <v>2</v>
      </c>
      <c r="D31" s="36" t="n">
        <v>24</v>
      </c>
      <c r="E31" s="9" t="n">
        <v>2</v>
      </c>
      <c r="F31" s="9" t="n">
        <v>0</v>
      </c>
      <c r="G31" s="9" t="n">
        <v>0</v>
      </c>
      <c r="H31" s="10" t="n">
        <f aca="false">SUM(B31:G31)</f>
        <v>28</v>
      </c>
    </row>
    <row r="32" customFormat="false" ht="15" hidden="false" customHeight="false" outlineLevel="0" collapsed="false">
      <c r="A32" s="5" t="s">
        <v>321</v>
      </c>
      <c r="B32" s="9" t="n">
        <v>0</v>
      </c>
      <c r="C32" s="9" t="n">
        <v>2</v>
      </c>
      <c r="D32" s="9" t="n">
        <v>6</v>
      </c>
      <c r="E32" s="36" t="n">
        <v>25</v>
      </c>
      <c r="F32" s="9" t="n">
        <v>3</v>
      </c>
      <c r="G32" s="9" t="n">
        <v>0</v>
      </c>
      <c r="H32" s="10" t="n">
        <f aca="false">SUM(B32:G32)</f>
        <v>36</v>
      </c>
    </row>
    <row r="33" customFormat="false" ht="15" hidden="false" customHeight="false" outlineLevel="0" collapsed="false">
      <c r="A33" s="5" t="s">
        <v>322</v>
      </c>
      <c r="B33" s="9" t="n">
        <v>0</v>
      </c>
      <c r="C33" s="9" t="n">
        <v>0</v>
      </c>
      <c r="D33" s="9" t="n">
        <v>0</v>
      </c>
      <c r="E33" s="9" t="n">
        <v>0</v>
      </c>
      <c r="F33" s="36" t="n">
        <v>10</v>
      </c>
      <c r="G33" s="9" t="n">
        <v>0</v>
      </c>
      <c r="H33" s="10" t="n">
        <f aca="false">SUM(B33:G33)</f>
        <v>10</v>
      </c>
    </row>
    <row r="34" customFormat="false" ht="15" hidden="false" customHeight="false" outlineLevel="0" collapsed="false">
      <c r="A34" s="5" t="s">
        <v>323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36" t="n">
        <v>29</v>
      </c>
      <c r="H34" s="10" t="n">
        <f aca="false">SUM(B34:G34)</f>
        <v>29</v>
      </c>
    </row>
    <row r="35" customFormat="false" ht="15" hidden="false" customHeight="false" outlineLevel="0" collapsed="false">
      <c r="A35" s="5" t="s">
        <v>325</v>
      </c>
      <c r="B35" s="35" t="n">
        <f aca="false">SUM(B29:B34)</f>
        <v>15</v>
      </c>
      <c r="C35" s="35" t="n">
        <f aca="false">SUM(C29:C34)</f>
        <v>32</v>
      </c>
      <c r="D35" s="35" t="n">
        <f aca="false">SUM(D29:D34)</f>
        <v>34</v>
      </c>
      <c r="E35" s="35" t="n">
        <f aca="false">SUM(E29:E34)</f>
        <v>27</v>
      </c>
      <c r="F35" s="35" t="n">
        <f aca="false">SUM(F29:F34)</f>
        <v>13</v>
      </c>
      <c r="G35" s="35" t="n">
        <f aca="false">SUM(G29:G34)</f>
        <v>29</v>
      </c>
      <c r="H35" s="35" t="n">
        <f aca="false">SUM(H29:H34)</f>
        <v>150</v>
      </c>
    </row>
    <row r="36" customFormat="false" ht="15" hidden="false" customHeight="false" outlineLevel="0" collapsed="false">
      <c r="A36" s="2" t="s">
        <v>326</v>
      </c>
      <c r="B36" s="37" t="str">
        <f aca="false">IF(H35=150,"OK","CHECK")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342</v>
      </c>
    </row>
    <row r="4" customFormat="false" ht="15" hidden="false" customHeight="false" outlineLevel="0" collapsed="false">
      <c r="A4" s="3" t="s">
        <v>343</v>
      </c>
    </row>
    <row r="5" customFormat="false" ht="15" hidden="false" customHeight="false" outlineLevel="0" collapsed="false">
      <c r="A5" s="4" t="s">
        <v>317</v>
      </c>
      <c r="B5" s="4" t="s">
        <v>318</v>
      </c>
      <c r="C5" s="4" t="s">
        <v>319</v>
      </c>
      <c r="D5" s="4" t="s">
        <v>320</v>
      </c>
      <c r="E5" s="4" t="s">
        <v>321</v>
      </c>
      <c r="F5" s="4" t="s">
        <v>322</v>
      </c>
      <c r="G5" s="4" t="s">
        <v>323</v>
      </c>
      <c r="H5" s="4" t="s">
        <v>324</v>
      </c>
    </row>
    <row r="6" customFormat="false" ht="15" hidden="false" customHeight="false" outlineLevel="0" collapsed="false">
      <c r="A6" s="5" t="s">
        <v>318</v>
      </c>
      <c r="B6" s="36" t="n">
        <v>2</v>
      </c>
      <c r="C6" s="9" t="n">
        <v>1</v>
      </c>
      <c r="D6" s="9" t="n">
        <v>0</v>
      </c>
      <c r="E6" s="9" t="n">
        <v>0</v>
      </c>
      <c r="F6" s="9" t="n">
        <v>0</v>
      </c>
      <c r="G6" s="9" t="n">
        <v>0</v>
      </c>
      <c r="H6" s="10" t="n">
        <f aca="false">SUM(B6:G6)</f>
        <v>3</v>
      </c>
    </row>
    <row r="7" customFormat="false" ht="15" hidden="false" customHeight="false" outlineLevel="0" collapsed="false">
      <c r="A7" s="5" t="s">
        <v>319</v>
      </c>
      <c r="B7" s="9" t="n">
        <v>5</v>
      </c>
      <c r="C7" s="36" t="n">
        <v>2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f aca="false">SUM(B7:G7)</f>
        <v>7</v>
      </c>
    </row>
    <row r="8" customFormat="false" ht="15" hidden="false" customHeight="false" outlineLevel="0" collapsed="false">
      <c r="A8" s="5" t="s">
        <v>320</v>
      </c>
      <c r="B8" s="9" t="n">
        <v>0</v>
      </c>
      <c r="C8" s="9" t="n">
        <v>3</v>
      </c>
      <c r="D8" s="36" t="n">
        <v>12</v>
      </c>
      <c r="E8" s="9" t="n">
        <v>1</v>
      </c>
      <c r="F8" s="9" t="n">
        <v>1</v>
      </c>
      <c r="G8" s="9" t="n">
        <v>0</v>
      </c>
      <c r="H8" s="10" t="n">
        <f aca="false">SUM(B8:G8)</f>
        <v>17</v>
      </c>
    </row>
    <row r="9" customFormat="false" ht="15" hidden="false" customHeight="false" outlineLevel="0" collapsed="false">
      <c r="A9" s="5" t="s">
        <v>321</v>
      </c>
      <c r="B9" s="9" t="n">
        <v>0</v>
      </c>
      <c r="C9" s="9" t="n">
        <v>0</v>
      </c>
      <c r="D9" s="9" t="n">
        <v>1</v>
      </c>
      <c r="E9" s="36" t="n">
        <v>8</v>
      </c>
      <c r="F9" s="9" t="n">
        <v>0</v>
      </c>
      <c r="G9" s="9" t="n">
        <v>0</v>
      </c>
      <c r="H9" s="10" t="n">
        <f aca="false">SUM(B9:G9)</f>
        <v>9</v>
      </c>
    </row>
    <row r="10" customFormat="false" ht="15" hidden="false" customHeight="false" outlineLevel="0" collapsed="false">
      <c r="A10" s="5" t="s">
        <v>322</v>
      </c>
      <c r="B10" s="9" t="n">
        <v>0</v>
      </c>
      <c r="C10" s="9" t="n">
        <v>0</v>
      </c>
      <c r="D10" s="9" t="n">
        <v>0</v>
      </c>
      <c r="E10" s="9" t="n">
        <v>0</v>
      </c>
      <c r="F10" s="36" t="n">
        <v>1</v>
      </c>
      <c r="G10" s="9" t="n">
        <v>0</v>
      </c>
      <c r="H10" s="10" t="n">
        <f aca="false">SUM(B10:G10)</f>
        <v>1</v>
      </c>
    </row>
    <row r="11" customFormat="false" ht="15" hidden="false" customHeight="false" outlineLevel="0" collapsed="false">
      <c r="A11" s="5" t="s">
        <v>323</v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36" t="n">
        <v>0</v>
      </c>
      <c r="H11" s="10" t="n">
        <f aca="false">SUM(B11:G11)</f>
        <v>0</v>
      </c>
    </row>
    <row r="12" customFormat="false" ht="15" hidden="false" customHeight="false" outlineLevel="0" collapsed="false">
      <c r="A12" s="5" t="s">
        <v>325</v>
      </c>
      <c r="B12" s="35" t="n">
        <f aca="false">SUM(B6:B11)</f>
        <v>7</v>
      </c>
      <c r="C12" s="35" t="n">
        <f aca="false">SUM(C6:C11)</f>
        <v>6</v>
      </c>
      <c r="D12" s="35" t="n">
        <f aca="false">SUM(D6:D11)</f>
        <v>13</v>
      </c>
      <c r="E12" s="35" t="n">
        <f aca="false">SUM(E6:E11)</f>
        <v>9</v>
      </c>
      <c r="F12" s="35" t="n">
        <f aca="false">SUM(F6:F11)</f>
        <v>2</v>
      </c>
      <c r="G12" s="35" t="n">
        <f aca="false">SUM(G6:G11)</f>
        <v>0</v>
      </c>
      <c r="H12" s="35" t="n">
        <f aca="false">SUM(H6:H11)</f>
        <v>37</v>
      </c>
    </row>
    <row r="13" customFormat="false" ht="15" hidden="false" customHeight="false" outlineLevel="0" collapsed="false">
      <c r="A13" s="2" t="s">
        <v>326</v>
      </c>
      <c r="B13" s="37" t="str">
        <f aca="false">IF(H12=37,"OK","CHECK")</f>
        <v>OK</v>
      </c>
    </row>
    <row r="15" customFormat="false" ht="15" hidden="false" customHeight="false" outlineLevel="0" collapsed="false">
      <c r="A15" s="3" t="s">
        <v>344</v>
      </c>
    </row>
    <row r="16" customFormat="false" ht="15" hidden="false" customHeight="false" outlineLevel="0" collapsed="false">
      <c r="A16" s="4" t="s">
        <v>317</v>
      </c>
      <c r="B16" s="4" t="s">
        <v>318</v>
      </c>
      <c r="C16" s="4" t="s">
        <v>319</v>
      </c>
      <c r="D16" s="4" t="s">
        <v>320</v>
      </c>
      <c r="E16" s="4" t="s">
        <v>321</v>
      </c>
      <c r="F16" s="4" t="s">
        <v>322</v>
      </c>
      <c r="G16" s="4" t="s">
        <v>323</v>
      </c>
      <c r="H16" s="4" t="s">
        <v>324</v>
      </c>
    </row>
    <row r="17" customFormat="false" ht="15" hidden="false" customHeight="false" outlineLevel="0" collapsed="false">
      <c r="A17" s="5" t="s">
        <v>318</v>
      </c>
      <c r="B17" s="36" t="n">
        <v>3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10" t="n">
        <f aca="false">SUM(B17:G17)</f>
        <v>3</v>
      </c>
    </row>
    <row r="18" customFormat="false" ht="15" hidden="false" customHeight="false" outlineLevel="0" collapsed="false">
      <c r="A18" s="5" t="s">
        <v>319</v>
      </c>
      <c r="B18" s="9" t="n">
        <v>4</v>
      </c>
      <c r="C18" s="36" t="n">
        <v>3</v>
      </c>
      <c r="D18" s="9" t="n">
        <v>0</v>
      </c>
      <c r="E18" s="9" t="n">
        <v>0</v>
      </c>
      <c r="F18" s="9" t="n">
        <v>0</v>
      </c>
      <c r="G18" s="9" t="n">
        <v>0</v>
      </c>
      <c r="H18" s="10" t="n">
        <f aca="false">SUM(B18:G18)</f>
        <v>7</v>
      </c>
    </row>
    <row r="19" customFormat="false" ht="15" hidden="false" customHeight="false" outlineLevel="0" collapsed="false">
      <c r="A19" s="5" t="s">
        <v>320</v>
      </c>
      <c r="B19" s="9" t="n">
        <v>0</v>
      </c>
      <c r="C19" s="9" t="n">
        <v>4</v>
      </c>
      <c r="D19" s="36" t="n">
        <v>9</v>
      </c>
      <c r="E19" s="9" t="n">
        <v>2</v>
      </c>
      <c r="F19" s="9" t="n">
        <v>0</v>
      </c>
      <c r="G19" s="9" t="n">
        <v>2</v>
      </c>
      <c r="H19" s="10" t="n">
        <f aca="false">SUM(B19:G19)</f>
        <v>17</v>
      </c>
    </row>
    <row r="20" customFormat="false" ht="15" hidden="false" customHeight="false" outlineLevel="0" collapsed="false">
      <c r="A20" s="5" t="s">
        <v>321</v>
      </c>
      <c r="B20" s="9" t="n">
        <v>0</v>
      </c>
      <c r="C20" s="9" t="n">
        <v>0</v>
      </c>
      <c r="D20" s="9" t="n">
        <v>1</v>
      </c>
      <c r="E20" s="36" t="n">
        <v>5</v>
      </c>
      <c r="F20" s="9" t="n">
        <v>0</v>
      </c>
      <c r="G20" s="9" t="n">
        <v>3</v>
      </c>
      <c r="H20" s="10" t="n">
        <f aca="false">SUM(B20:G20)</f>
        <v>9</v>
      </c>
    </row>
    <row r="21" customFormat="false" ht="15" hidden="false" customHeight="false" outlineLevel="0" collapsed="false">
      <c r="A21" s="5" t="s">
        <v>322</v>
      </c>
      <c r="B21" s="9" t="n">
        <v>0</v>
      </c>
      <c r="C21" s="9" t="n">
        <v>0</v>
      </c>
      <c r="D21" s="9" t="n">
        <v>0</v>
      </c>
      <c r="E21" s="9" t="n">
        <v>0</v>
      </c>
      <c r="F21" s="36" t="n">
        <v>1</v>
      </c>
      <c r="G21" s="9" t="n">
        <v>0</v>
      </c>
      <c r="H21" s="10" t="n">
        <f aca="false">SUM(B21:G21)</f>
        <v>1</v>
      </c>
    </row>
    <row r="22" customFormat="false" ht="15" hidden="false" customHeight="false" outlineLevel="0" collapsed="false">
      <c r="A22" s="5" t="s">
        <v>323</v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36" t="n">
        <v>0</v>
      </c>
      <c r="H22" s="10" t="n">
        <f aca="false">SUM(B22:G22)</f>
        <v>0</v>
      </c>
    </row>
    <row r="23" customFormat="false" ht="15" hidden="false" customHeight="false" outlineLevel="0" collapsed="false">
      <c r="A23" s="5" t="s">
        <v>325</v>
      </c>
      <c r="B23" s="35" t="n">
        <f aca="false">SUM(B17:B22)</f>
        <v>7</v>
      </c>
      <c r="C23" s="35" t="n">
        <f aca="false">SUM(C17:C22)</f>
        <v>7</v>
      </c>
      <c r="D23" s="35" t="n">
        <f aca="false">SUM(D17:D22)</f>
        <v>10</v>
      </c>
      <c r="E23" s="35" t="n">
        <f aca="false">SUM(E17:E22)</f>
        <v>7</v>
      </c>
      <c r="F23" s="35" t="n">
        <f aca="false">SUM(F17:F22)</f>
        <v>1</v>
      </c>
      <c r="G23" s="35" t="n">
        <f aca="false">SUM(G17:G22)</f>
        <v>5</v>
      </c>
      <c r="H23" s="35" t="n">
        <f aca="false">SUM(H17:H22)</f>
        <v>37</v>
      </c>
    </row>
    <row r="24" customFormat="false" ht="15" hidden="false" customHeight="false" outlineLevel="0" collapsed="false">
      <c r="A24" s="2" t="s">
        <v>326</v>
      </c>
      <c r="B24" s="37" t="str">
        <f aca="false">IF(H23=37,"OK","CHECK")</f>
        <v>OK</v>
      </c>
    </row>
    <row r="26" customFormat="false" ht="15" hidden="false" customHeight="false" outlineLevel="0" collapsed="false">
      <c r="A26" s="3" t="s">
        <v>345</v>
      </c>
    </row>
    <row r="27" customFormat="false" ht="15" hidden="false" customHeight="false" outlineLevel="0" collapsed="false">
      <c r="A27" s="4" t="s">
        <v>317</v>
      </c>
      <c r="B27" s="4" t="s">
        <v>318</v>
      </c>
      <c r="C27" s="4" t="s">
        <v>319</v>
      </c>
      <c r="D27" s="4" t="s">
        <v>320</v>
      </c>
      <c r="E27" s="4" t="s">
        <v>321</v>
      </c>
      <c r="F27" s="4" t="s">
        <v>322</v>
      </c>
      <c r="G27" s="4" t="s">
        <v>323</v>
      </c>
      <c r="H27" s="4" t="s">
        <v>324</v>
      </c>
    </row>
    <row r="28" customFormat="false" ht="15" hidden="false" customHeight="false" outlineLevel="0" collapsed="false">
      <c r="A28" s="5" t="s">
        <v>318</v>
      </c>
      <c r="B28" s="36" t="n">
        <v>2</v>
      </c>
      <c r="C28" s="9" t="n">
        <v>1</v>
      </c>
      <c r="D28" s="9" t="n">
        <v>0</v>
      </c>
      <c r="E28" s="9" t="n">
        <v>0</v>
      </c>
      <c r="F28" s="9" t="n">
        <v>0</v>
      </c>
      <c r="G28" s="9" t="n">
        <v>0</v>
      </c>
      <c r="H28" s="10" t="n">
        <f aca="false">SUM(B28:G28)</f>
        <v>3</v>
      </c>
    </row>
    <row r="29" customFormat="false" ht="15" hidden="false" customHeight="false" outlineLevel="0" collapsed="false">
      <c r="A29" s="5" t="s">
        <v>319</v>
      </c>
      <c r="B29" s="9" t="n">
        <v>1</v>
      </c>
      <c r="C29" s="36" t="n">
        <v>5</v>
      </c>
      <c r="D29" s="9" t="n">
        <v>0</v>
      </c>
      <c r="E29" s="9" t="n">
        <v>0</v>
      </c>
      <c r="F29" s="9" t="n">
        <v>0</v>
      </c>
      <c r="G29" s="9" t="n">
        <v>1</v>
      </c>
      <c r="H29" s="10" t="n">
        <f aca="false">SUM(B29:G29)</f>
        <v>7</v>
      </c>
    </row>
    <row r="30" customFormat="false" ht="15" hidden="false" customHeight="false" outlineLevel="0" collapsed="false">
      <c r="A30" s="5" t="s">
        <v>320</v>
      </c>
      <c r="B30" s="9" t="n">
        <v>0</v>
      </c>
      <c r="C30" s="9" t="n">
        <v>4</v>
      </c>
      <c r="D30" s="36" t="n">
        <v>12</v>
      </c>
      <c r="E30" s="9" t="n">
        <v>0</v>
      </c>
      <c r="F30" s="9" t="n">
        <v>1</v>
      </c>
      <c r="G30" s="9" t="n">
        <v>0</v>
      </c>
      <c r="H30" s="10" t="n">
        <f aca="false">SUM(B30:G30)</f>
        <v>17</v>
      </c>
    </row>
    <row r="31" customFormat="false" ht="15" hidden="false" customHeight="false" outlineLevel="0" collapsed="false">
      <c r="A31" s="5" t="s">
        <v>321</v>
      </c>
      <c r="B31" s="9" t="n">
        <v>0</v>
      </c>
      <c r="C31" s="9" t="n">
        <v>0</v>
      </c>
      <c r="D31" s="9" t="n">
        <v>1</v>
      </c>
      <c r="E31" s="36" t="n">
        <v>8</v>
      </c>
      <c r="F31" s="9" t="n">
        <v>0</v>
      </c>
      <c r="G31" s="9" t="n">
        <v>0</v>
      </c>
      <c r="H31" s="10" t="n">
        <f aca="false">SUM(B31:G31)</f>
        <v>9</v>
      </c>
    </row>
    <row r="32" customFormat="false" ht="15" hidden="false" customHeight="false" outlineLevel="0" collapsed="false">
      <c r="A32" s="5" t="s">
        <v>322</v>
      </c>
      <c r="B32" s="9" t="n">
        <v>0</v>
      </c>
      <c r="C32" s="9" t="n">
        <v>0</v>
      </c>
      <c r="D32" s="9" t="n">
        <v>0</v>
      </c>
      <c r="E32" s="9" t="n">
        <v>0</v>
      </c>
      <c r="F32" s="36" t="n">
        <v>1</v>
      </c>
      <c r="G32" s="9" t="n">
        <v>0</v>
      </c>
      <c r="H32" s="10" t="n">
        <f aca="false">SUM(B32:G32)</f>
        <v>1</v>
      </c>
    </row>
    <row r="33" customFormat="false" ht="15" hidden="false" customHeight="false" outlineLevel="0" collapsed="false">
      <c r="A33" s="5" t="s">
        <v>323</v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36" t="n">
        <v>0</v>
      </c>
      <c r="H33" s="10" t="n">
        <f aca="false">SUM(B33:G33)</f>
        <v>0</v>
      </c>
    </row>
    <row r="34" customFormat="false" ht="15" hidden="false" customHeight="false" outlineLevel="0" collapsed="false">
      <c r="A34" s="5" t="s">
        <v>325</v>
      </c>
      <c r="B34" s="35" t="n">
        <f aca="false">SUM(B28:B33)</f>
        <v>3</v>
      </c>
      <c r="C34" s="35" t="n">
        <f aca="false">SUM(C28:C33)</f>
        <v>10</v>
      </c>
      <c r="D34" s="35" t="n">
        <f aca="false">SUM(D28:D33)</f>
        <v>13</v>
      </c>
      <c r="E34" s="35" t="n">
        <f aca="false">SUM(E28:E33)</f>
        <v>8</v>
      </c>
      <c r="F34" s="35" t="n">
        <f aca="false">SUM(F28:F33)</f>
        <v>2</v>
      </c>
      <c r="G34" s="35" t="n">
        <f aca="false">SUM(G28:G33)</f>
        <v>1</v>
      </c>
      <c r="H34" s="35" t="n">
        <f aca="false">SUM(H28:H33)</f>
        <v>37</v>
      </c>
    </row>
    <row r="35" customFormat="false" ht="15" hidden="false" customHeight="false" outlineLevel="0" collapsed="false">
      <c r="A35" s="2" t="s">
        <v>326</v>
      </c>
      <c r="B35" s="37" t="str">
        <f aca="false">IF(H34=37,"OK","CHECK")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7.35" hidden="false" customHeight="false" outlineLevel="0" collapsed="false">
      <c r="A1" s="1" t="s">
        <v>346</v>
      </c>
    </row>
    <row r="3" customFormat="false" ht="26.85" hidden="false" customHeight="false" outlineLevel="0" collapsed="false">
      <c r="A3" s="4" t="s">
        <v>347</v>
      </c>
      <c r="B3" s="4" t="s">
        <v>348</v>
      </c>
      <c r="C3" s="4" t="s">
        <v>349</v>
      </c>
      <c r="D3" s="4" t="s">
        <v>350</v>
      </c>
    </row>
    <row r="4" customFormat="false" ht="15" hidden="false" customHeight="false" outlineLevel="0" collapsed="false">
      <c r="A4" s="31" t="s">
        <v>351</v>
      </c>
      <c r="B4" s="38" t="n">
        <v>8</v>
      </c>
      <c r="C4" s="38" t="n">
        <v>30</v>
      </c>
      <c r="D4" s="39" t="n">
        <f aca="false">B4/C4</f>
        <v>0.266666666666667</v>
      </c>
    </row>
    <row r="5" customFormat="false" ht="15" hidden="false" customHeight="false" outlineLevel="0" collapsed="false">
      <c r="A5" s="31" t="s">
        <v>352</v>
      </c>
      <c r="B5" s="38" t="n">
        <v>8</v>
      </c>
      <c r="C5" s="38" t="n">
        <v>20</v>
      </c>
      <c r="D5" s="39" t="n">
        <f aca="false">B5/C5</f>
        <v>0.4</v>
      </c>
    </row>
    <row r="7" customFormat="false" ht="15" hidden="false" customHeight="false" outlineLevel="0" collapsed="false">
      <c r="A7" s="2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2026-10-09T23:48:17Z</dcterms:created>
  <dc:creator>openpyxl</dc:creator>
  <dc:description/>
  <dc:language>en-US</dc:language>
  <cp:lastModifiedBy/>
  <dcterms:modified xsi:type="dcterms:W3CDTF">2026-10-09T23:48:17Z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