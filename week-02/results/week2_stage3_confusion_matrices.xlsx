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usion Matrices" sheetId="1" state="visible" r:id="rId3"/>
    <sheet name="Summary" sheetId="2" state="visible" r:id="rId4"/>
    <sheet name="Find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<sst xmlns="http://schemas.openxmlformats.org/spreadsheetml/2006/main" count="109" uniqueCount="69">
  <si>
    <t xml:space="preserve">Week 2 Stage 3 — Condition tier confusion matrices</t>
  </si>
  <si>
    <t xml:space="preserve">Rows = my label. Columns = model's prediction. Diagonal (green) = agreement. Left of diagonal = model graded better (more generous); right = model graded worse (stricter).</t>
  </si>
  <si>
    <t xml:space="preserve">Sonnet 5</t>
  </si>
  <si>
    <t xml:space="preserve">You ↓ / Model →</t>
  </si>
  <si>
    <t xml:space="preserve">Pristine</t>
  </si>
  <si>
    <t xml:space="preserve">Excellent</t>
  </si>
  <si>
    <t xml:space="preserve">Very Good</t>
  </si>
  <si>
    <t xml:space="preserve">Good</t>
  </si>
  <si>
    <t xml:space="preserve">Fair</t>
  </si>
  <si>
    <t xml:space="preserve">Insufficient</t>
  </si>
  <si>
    <t xml:space="preserve">Row total</t>
  </si>
  <si>
    <t xml:space="preserve">Column total</t>
  </si>
  <si>
    <t xml:space="preserve">Haiku 4.5</t>
  </si>
  <si>
    <t xml:space="preserve">Opus 5</t>
  </si>
  <si>
    <t xml:space="preserve">Source: score.py stage 3 output. Blue = counts copied from that output; black = formulas. Zero invalid model tiers for all three models.</t>
  </si>
  <si>
    <t xml:space="preserve">Week 2 Stage 3 — Summary metrics (all formulas, linked to Confusion Matrices)</t>
  </si>
  <si>
    <t xml:space="preserve">Metric</t>
  </si>
  <si>
    <t xml:space="preserve">How it's calculated</t>
  </si>
  <si>
    <t xml:space="preserve">Listings scored</t>
  </si>
  <si>
    <t xml:space="preserve">Sum of all cells</t>
  </si>
  <si>
    <t xml:space="preserve">Tier agreement (count)</t>
  </si>
  <si>
    <t xml:space="preserve">Sum of the diagonal</t>
  </si>
  <si>
    <t xml:space="preserve">Tier agreement (all 150)</t>
  </si>
  <si>
    <t xml:space="preserve">Diagonal / listings</t>
  </si>
  <si>
    <t xml:space="preserve">Model declined, you graded</t>
  </si>
  <si>
    <t xml:space="preserve">Insufficient column, excluding your Insufficient row</t>
  </si>
  <si>
    <t xml:space="preserve">You declined, model graded</t>
  </si>
  <si>
    <t xml:space="preserve">Your Insufficient row, excluding model Insufficient</t>
  </si>
  <si>
    <t xml:space="preserve">Both declined</t>
  </si>
  <si>
    <t xml:space="preserve">Insufficient / Insufficient cell</t>
  </si>
  <si>
    <t xml:space="preserve">Both graded (count)</t>
  </si>
  <si>
    <t xml:space="preserve">Listings minus every row/column touching Insufficient</t>
  </si>
  <si>
    <t xml:space="preserve">Agreement where both graded</t>
  </si>
  <si>
    <t xml:space="preserve">(Diagonal minus both-declined) / both graded</t>
  </si>
  <si>
    <t xml:space="preserve">Total disagreements</t>
  </si>
  <si>
    <t xml:space="preserve">Listings minus diagonal</t>
  </si>
  <si>
    <t xml:space="preserve">Share of disagreements = model declined</t>
  </si>
  <si>
    <t xml:space="preserve">Model declined, you graded / total disagreements</t>
  </si>
  <si>
    <t xml:space="preserve">Model more generous</t>
  </si>
  <si>
    <t xml:space="preserve">Graded cells left of diagonal</t>
  </si>
  <si>
    <t xml:space="preserve">Model stricter</t>
  </si>
  <si>
    <t xml:space="preserve">Graded cells right of diagonal</t>
  </si>
  <si>
    <t xml:space="preserve">Generous share of directional misses</t>
  </si>
  <si>
    <t xml:space="preserve">Generous / (generous + stricter)</t>
  </si>
  <si>
    <t xml:space="preserve">One-tier misses</t>
  </si>
  <si>
    <t xml:space="preserve">Graded cells directly beside the diagonal</t>
  </si>
  <si>
    <t xml:space="preserve">Two-or-more-tier misses</t>
  </si>
  <si>
    <t xml:space="preserve">Directional misses minus one-tier misses</t>
  </si>
  <si>
    <t xml:space="preserve">Excellent → Pristine (packaging rule)</t>
  </si>
  <si>
    <t xml:space="preserve">Largest single cell; tests pre-registered packaging failure</t>
  </si>
  <si>
    <t xml:space="preserve">Green = pulled from the Confusion Matrices sheet; black = calculated here.</t>
  </si>
  <si>
    <t xml:space="preserve">Week 2 Stage 3 — What the matrices show</t>
  </si>
  <si>
    <t xml:space="preserve">Finding</t>
  </si>
  <si>
    <t xml:space="preserve">What it says</t>
  </si>
  <si>
    <t xml:space="preserve">Next check</t>
  </si>
  <si>
    <t xml:space="preserve">Biggest disagreement source: model declines where I graded</t>
  </si>
  <si>
    <t xml:space="preserve">Sonnet 29, Haiku 30, Opus 38 listings — roughly 40-50% of each model's disagreements, concentrated in my Very Good and Good rows. Likely a spec mismatch: my labeling rules grade bare claims, but the prompt tells the model to grade only described wear, not repeat platform labels, and decline otherwise. The models are following their instructions.</t>
  </si>
  <si>
    <t xml:space="preserve">Cross the 37 'claim without evidence' rows against model declines. Report as found; don't silently edit the prompt and re-run.</t>
  </si>
  <si>
    <t xml:space="preserve">Generous-skew prediction holds where both graded</t>
  </si>
  <si>
    <t xml:space="preserve">Model more generous vs stricter: Sonnet 27 vs 14, Haiku 19 vs 7, Opus 17 vs 14. Clear for Sonnet and Haiku, nearly balanced for Opus.</t>
  </si>
  <si>
    <t xml:space="preserve">Split by sparse vs detailed listings to test the 'worse on sparse' half of prediction 2.</t>
  </si>
  <si>
    <t xml:space="preserve">Largest single cell: Excellent → Pristine</t>
  </si>
  <si>
    <t xml:space="preserve">8 / 9 / 4. Models award Pristine where I said Excellent — almost certainly the packaging rule, which I pre-registered would not transfer. Opus handled it best.</t>
  </si>
  <si>
    <t xml:space="preserve">Read the rows in that cell and confirm packaging is the cause.</t>
  </si>
  <si>
    <t xml:space="preserve">Misses are almost all one tier</t>
  </si>
  <si>
    <t xml:space="preserve">Only a handful of two-tier misses; Haiku has none. These are boundary disagreements, not misreadings.</t>
  </si>
  <si>
    <t xml:space="preserve">Map one-tier misses to rubric boundary cases (boundary_case = Y).</t>
  </si>
  <si>
    <t xml:space="preserve">Sonnet 53%, Haiku 70%, Opus 61%. Haiku's lead sits in Very Good, Good, and Fair rather than abstention, so the bare-claims explanation for its lead is still open.</t>
  </si>
  <si>
    <t xml:space="preserve">Agreement on the 37 tagged rows vs the other 113, per model.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</si>
</sst>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4</v>
      </c>
      <c r="B6" s="6" t="n">
        <v>8</v>
      </c>
      <c r="C6" s="7" t="n">
        <v>2</v>
      </c>
      <c r="D6" s="7" t="n">
        <v>0</v>
      </c>
      <c r="E6" s="7" t="n">
        <v>0</v>
      </c>
      <c r="F6" s="7" t="n">
        <v>0</v>
      </c>
      <c r="G6" s="7" t="n">
        <v>0</v>
      </c>
      <c r="H6" s="8" t="n">
        <f aca="false">SUM(B6:G6)</f>
        <v>10</v>
      </c>
    </row>
    <row r="7" customFormat="false" ht="15" hidden="false" customHeight="false" outlineLevel="0" collapsed="false">
      <c r="A7" s="5" t="s">
        <v>5</v>
      </c>
      <c r="B7" s="7" t="n">
        <v>8</v>
      </c>
      <c r="C7" s="6" t="n">
        <v>18</v>
      </c>
      <c r="D7" s="7" t="n">
        <v>2</v>
      </c>
      <c r="E7" s="7" t="n">
        <v>0</v>
      </c>
      <c r="F7" s="7" t="n">
        <v>0</v>
      </c>
      <c r="G7" s="7" t="n">
        <v>3</v>
      </c>
      <c r="H7" s="8" t="n">
        <f aca="false">SUM(B7:G7)</f>
        <v>31</v>
      </c>
    </row>
    <row r="8" customFormat="false" ht="15" hidden="false" customHeight="false" outlineLevel="0" collapsed="false">
      <c r="A8" s="5" t="s">
        <v>6</v>
      </c>
      <c r="B8" s="7" t="n">
        <v>0</v>
      </c>
      <c r="C8" s="7" t="n">
        <v>11</v>
      </c>
      <c r="D8" s="6" t="n">
        <v>12</v>
      </c>
      <c r="E8" s="7" t="n">
        <v>5</v>
      </c>
      <c r="F8" s="7" t="n">
        <v>1</v>
      </c>
      <c r="G8" s="7" t="n">
        <v>10</v>
      </c>
      <c r="H8" s="8" t="n">
        <f aca="false">SUM(B8:G8)</f>
        <v>39</v>
      </c>
    </row>
    <row r="9" customFormat="false" ht="15" hidden="false" customHeight="false" outlineLevel="0" collapsed="false">
      <c r="A9" s="5" t="s">
        <v>7</v>
      </c>
      <c r="B9" s="7" t="n">
        <v>0</v>
      </c>
      <c r="C9" s="7" t="n">
        <v>0</v>
      </c>
      <c r="D9" s="7" t="n">
        <v>4</v>
      </c>
      <c r="E9" s="6" t="n">
        <v>7</v>
      </c>
      <c r="F9" s="7" t="n">
        <v>4</v>
      </c>
      <c r="G9" s="7" t="n">
        <v>15</v>
      </c>
      <c r="H9" s="8" t="n">
        <f aca="false">SUM(B9:G9)</f>
        <v>30</v>
      </c>
    </row>
    <row r="10" customFormat="false" ht="15" hidden="false" customHeight="false" outlineLevel="0" collapsed="false">
      <c r="A10" s="5" t="s">
        <v>8</v>
      </c>
      <c r="B10" s="7" t="n">
        <v>0</v>
      </c>
      <c r="C10" s="7" t="n">
        <v>0</v>
      </c>
      <c r="D10" s="7" t="n">
        <v>2</v>
      </c>
      <c r="E10" s="7" t="n">
        <v>2</v>
      </c>
      <c r="F10" s="6" t="n">
        <v>2</v>
      </c>
      <c r="G10" s="7" t="n">
        <v>1</v>
      </c>
      <c r="H10" s="8" t="n">
        <f aca="false">SUM(B10:G10)</f>
        <v>7</v>
      </c>
    </row>
    <row r="11" customFormat="false" ht="15" hidden="false" customHeight="false" outlineLevel="0" collapsed="false">
      <c r="A11" s="5" t="s">
        <v>9</v>
      </c>
      <c r="B11" s="7" t="n">
        <v>2</v>
      </c>
      <c r="C11" s="7" t="n">
        <v>4</v>
      </c>
      <c r="D11" s="7" t="n">
        <v>0</v>
      </c>
      <c r="E11" s="7" t="n">
        <v>0</v>
      </c>
      <c r="F11" s="7" t="n">
        <v>0</v>
      </c>
      <c r="G11" s="6" t="n">
        <v>27</v>
      </c>
      <c r="H11" s="8" t="n">
        <f aca="false">SUM(B11:G11)</f>
        <v>33</v>
      </c>
    </row>
    <row r="12" customFormat="false" ht="15" hidden="false" customHeight="false" outlineLevel="0" collapsed="false">
      <c r="A12" s="5" t="s">
        <v>11</v>
      </c>
      <c r="B12" s="9" t="n">
        <f aca="false">SUM(B6:B11)</f>
        <v>18</v>
      </c>
      <c r="C12" s="9" t="n">
        <f aca="false">SUM(C6:C11)</f>
        <v>35</v>
      </c>
      <c r="D12" s="9" t="n">
        <f aca="false">SUM(D6:D11)</f>
        <v>20</v>
      </c>
      <c r="E12" s="9" t="n">
        <f aca="false">SUM(E6:E11)</f>
        <v>14</v>
      </c>
      <c r="F12" s="9" t="n">
        <f aca="false">SUM(F6:F11)</f>
        <v>7</v>
      </c>
      <c r="G12" s="9" t="n">
        <f aca="false">SUM(G6:G11)</f>
        <v>56</v>
      </c>
      <c r="H12" s="9" t="n">
        <f aca="false">SUM(H6:H11)</f>
        <v>150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4" t="s">
        <v>3</v>
      </c>
      <c r="B16" s="4" t="s">
        <v>4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9</v>
      </c>
      <c r="H16" s="4" t="s">
        <v>10</v>
      </c>
    </row>
    <row r="17" customFormat="false" ht="15" hidden="false" customHeight="false" outlineLevel="0" collapsed="false">
      <c r="A17" s="5" t="s">
        <v>4</v>
      </c>
      <c r="B17" s="6" t="n">
        <v>9</v>
      </c>
      <c r="C17" s="7" t="n">
        <v>1</v>
      </c>
      <c r="D17" s="7" t="n">
        <v>0</v>
      </c>
      <c r="E17" s="7" t="n">
        <v>0</v>
      </c>
      <c r="F17" s="7" t="n">
        <v>0</v>
      </c>
      <c r="G17" s="7" t="n">
        <v>0</v>
      </c>
      <c r="H17" s="8" t="n">
        <f aca="false">SUM(B17:G17)</f>
        <v>10</v>
      </c>
    </row>
    <row r="18" customFormat="false" ht="15" hidden="false" customHeight="false" outlineLevel="0" collapsed="false">
      <c r="A18" s="5" t="s">
        <v>5</v>
      </c>
      <c r="B18" s="7" t="n">
        <v>9</v>
      </c>
      <c r="C18" s="6" t="n">
        <v>16</v>
      </c>
      <c r="D18" s="7" t="n">
        <v>1</v>
      </c>
      <c r="E18" s="7" t="n">
        <v>0</v>
      </c>
      <c r="F18" s="7" t="n">
        <v>0</v>
      </c>
      <c r="G18" s="7" t="n">
        <v>5</v>
      </c>
      <c r="H18" s="8" t="n">
        <f aca="false">SUM(B18:G18)</f>
        <v>31</v>
      </c>
    </row>
    <row r="19" customFormat="false" ht="15" hidden="false" customHeight="false" outlineLevel="0" collapsed="false">
      <c r="A19" s="5" t="s">
        <v>6</v>
      </c>
      <c r="B19" s="7" t="n">
        <v>0</v>
      </c>
      <c r="C19" s="7" t="n">
        <v>7</v>
      </c>
      <c r="D19" s="6" t="n">
        <v>18</v>
      </c>
      <c r="E19" s="7" t="n">
        <v>3</v>
      </c>
      <c r="F19" s="7" t="n">
        <v>0</v>
      </c>
      <c r="G19" s="7" t="n">
        <v>11</v>
      </c>
      <c r="H19" s="8" t="n">
        <f aca="false">SUM(B19:G19)</f>
        <v>39</v>
      </c>
    </row>
    <row r="20" customFormat="false" ht="15" hidden="false" customHeight="false" outlineLevel="0" collapsed="false">
      <c r="A20" s="5" t="s">
        <v>7</v>
      </c>
      <c r="B20" s="7" t="n">
        <v>0</v>
      </c>
      <c r="C20" s="7" t="n">
        <v>0</v>
      </c>
      <c r="D20" s="7" t="n">
        <v>1</v>
      </c>
      <c r="E20" s="6" t="n">
        <v>13</v>
      </c>
      <c r="F20" s="7" t="n">
        <v>2</v>
      </c>
      <c r="G20" s="7" t="n">
        <v>14</v>
      </c>
      <c r="H20" s="8" t="n">
        <f aca="false">SUM(B20:G20)</f>
        <v>30</v>
      </c>
    </row>
    <row r="21" customFormat="false" ht="15" hidden="false" customHeight="false" outlineLevel="0" collapsed="false">
      <c r="A21" s="5" t="s">
        <v>8</v>
      </c>
      <c r="B21" s="7" t="n">
        <v>0</v>
      </c>
      <c r="C21" s="7" t="n">
        <v>0</v>
      </c>
      <c r="D21" s="7" t="n">
        <v>0</v>
      </c>
      <c r="E21" s="7" t="n">
        <v>2</v>
      </c>
      <c r="F21" s="6" t="n">
        <v>5</v>
      </c>
      <c r="G21" s="7" t="n">
        <v>0</v>
      </c>
      <c r="H21" s="8" t="n">
        <f aca="false">SUM(B21:G21)</f>
        <v>7</v>
      </c>
    </row>
    <row r="22" customFormat="false" ht="15" hidden="false" customHeight="false" outlineLevel="0" collapsed="false">
      <c r="A22" s="5" t="s">
        <v>9</v>
      </c>
      <c r="B22" s="7" t="n">
        <v>5</v>
      </c>
      <c r="C22" s="7" t="n">
        <v>1</v>
      </c>
      <c r="D22" s="7" t="n">
        <v>0</v>
      </c>
      <c r="E22" s="7" t="n">
        <v>0</v>
      </c>
      <c r="F22" s="7" t="n">
        <v>0</v>
      </c>
      <c r="G22" s="6" t="n">
        <v>27</v>
      </c>
      <c r="H22" s="8" t="n">
        <f aca="false">SUM(B22:G22)</f>
        <v>33</v>
      </c>
    </row>
    <row r="23" customFormat="false" ht="15" hidden="false" customHeight="false" outlineLevel="0" collapsed="false">
      <c r="A23" s="5" t="s">
        <v>11</v>
      </c>
      <c r="B23" s="9" t="n">
        <f aca="false">SUM(B17:B22)</f>
        <v>23</v>
      </c>
      <c r="C23" s="9" t="n">
        <f aca="false">SUM(C17:C22)</f>
        <v>25</v>
      </c>
      <c r="D23" s="9" t="n">
        <f aca="false">SUM(D17:D22)</f>
        <v>20</v>
      </c>
      <c r="E23" s="9" t="n">
        <f aca="false">SUM(E17:E22)</f>
        <v>18</v>
      </c>
      <c r="F23" s="9" t="n">
        <f aca="false">SUM(F17:F22)</f>
        <v>7</v>
      </c>
      <c r="G23" s="9" t="n">
        <f aca="false">SUM(G17:G22)</f>
        <v>57</v>
      </c>
      <c r="H23" s="9" t="n">
        <f aca="false">SUM(H17:H22)</f>
        <v>150</v>
      </c>
    </row>
    <row r="26" customFormat="false" ht="15" hidden="false" customHeight="false" outlineLevel="0" collapsed="false">
      <c r="A26" s="3" t="s">
        <v>13</v>
      </c>
    </row>
    <row r="27" customFormat="false" ht="15" hidden="false" customHeight="false" outlineLevel="0" collapsed="false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  <c r="G27" s="4" t="s">
        <v>9</v>
      </c>
      <c r="H27" s="4" t="s">
        <v>10</v>
      </c>
    </row>
    <row r="28" customFormat="false" ht="15" hidden="false" customHeight="false" outlineLevel="0" collapsed="false">
      <c r="A28" s="5" t="s">
        <v>4</v>
      </c>
      <c r="B28" s="6" t="n">
        <v>9</v>
      </c>
      <c r="C28" s="7" t="n">
        <v>1</v>
      </c>
      <c r="D28" s="7" t="n">
        <v>0</v>
      </c>
      <c r="E28" s="7" t="n">
        <v>0</v>
      </c>
      <c r="F28" s="7" t="n">
        <v>0</v>
      </c>
      <c r="G28" s="7" t="n">
        <v>0</v>
      </c>
      <c r="H28" s="8" t="n">
        <f aca="false">SUM(B28:G28)</f>
        <v>10</v>
      </c>
    </row>
    <row r="29" customFormat="false" ht="15" hidden="false" customHeight="false" outlineLevel="0" collapsed="false">
      <c r="A29" s="5" t="s">
        <v>5</v>
      </c>
      <c r="B29" s="7" t="n">
        <v>4</v>
      </c>
      <c r="C29" s="6" t="n">
        <v>19</v>
      </c>
      <c r="D29" s="7" t="n">
        <v>3</v>
      </c>
      <c r="E29" s="7" t="n">
        <v>0</v>
      </c>
      <c r="F29" s="7" t="n">
        <v>0</v>
      </c>
      <c r="G29" s="7" t="n">
        <v>5</v>
      </c>
      <c r="H29" s="8" t="n">
        <f aca="false">SUM(B29:G29)</f>
        <v>31</v>
      </c>
    </row>
    <row r="30" customFormat="false" ht="15" hidden="false" customHeight="false" outlineLevel="0" collapsed="false">
      <c r="A30" s="5" t="s">
        <v>6</v>
      </c>
      <c r="B30" s="7" t="n">
        <v>0</v>
      </c>
      <c r="C30" s="7" t="n">
        <v>6</v>
      </c>
      <c r="D30" s="6" t="n">
        <v>11</v>
      </c>
      <c r="E30" s="7" t="n">
        <v>5</v>
      </c>
      <c r="F30" s="7" t="n">
        <v>1</v>
      </c>
      <c r="G30" s="7" t="n">
        <v>16</v>
      </c>
      <c r="H30" s="8" t="n">
        <f aca="false">SUM(B30:G30)</f>
        <v>39</v>
      </c>
    </row>
    <row r="31" customFormat="false" ht="15" hidden="false" customHeight="false" outlineLevel="0" collapsed="false">
      <c r="A31" s="5" t="s">
        <v>7</v>
      </c>
      <c r="B31" s="7" t="n">
        <v>0</v>
      </c>
      <c r="C31" s="7" t="n">
        <v>0</v>
      </c>
      <c r="D31" s="7" t="n">
        <v>3</v>
      </c>
      <c r="E31" s="6" t="n">
        <v>7</v>
      </c>
      <c r="F31" s="7" t="n">
        <v>4</v>
      </c>
      <c r="G31" s="7" t="n">
        <v>16</v>
      </c>
      <c r="H31" s="8" t="n">
        <f aca="false">SUM(B31:G31)</f>
        <v>30</v>
      </c>
    </row>
    <row r="32" customFormat="false" ht="15" hidden="false" customHeight="false" outlineLevel="0" collapsed="false">
      <c r="A32" s="5" t="s">
        <v>8</v>
      </c>
      <c r="B32" s="7" t="n">
        <v>0</v>
      </c>
      <c r="C32" s="7" t="n">
        <v>0</v>
      </c>
      <c r="D32" s="7" t="n">
        <v>2</v>
      </c>
      <c r="E32" s="7" t="n">
        <v>2</v>
      </c>
      <c r="F32" s="6" t="n">
        <v>2</v>
      </c>
      <c r="G32" s="7" t="n">
        <v>1</v>
      </c>
      <c r="H32" s="8" t="n">
        <f aca="false">SUM(B32:G32)</f>
        <v>7</v>
      </c>
    </row>
    <row r="33" customFormat="false" ht="15" hidden="false" customHeight="false" outlineLevel="0" collapsed="false">
      <c r="A33" s="5" t="s">
        <v>9</v>
      </c>
      <c r="B33" s="7" t="n">
        <v>3</v>
      </c>
      <c r="C33" s="7" t="n">
        <v>2</v>
      </c>
      <c r="D33" s="7" t="n">
        <v>0</v>
      </c>
      <c r="E33" s="7" t="n">
        <v>0</v>
      </c>
      <c r="F33" s="7" t="n">
        <v>0</v>
      </c>
      <c r="G33" s="6" t="n">
        <v>28</v>
      </c>
      <c r="H33" s="8" t="n">
        <f aca="false">SUM(B33:G33)</f>
        <v>33</v>
      </c>
    </row>
    <row r="34" customFormat="false" ht="15" hidden="false" customHeight="false" outlineLevel="0" collapsed="false">
      <c r="A34" s="5" t="s">
        <v>11</v>
      </c>
      <c r="B34" s="9" t="n">
        <f aca="false">SUM(B28:B33)</f>
        <v>16</v>
      </c>
      <c r="C34" s="9" t="n">
        <f aca="false">SUM(C28:C33)</f>
        <v>28</v>
      </c>
      <c r="D34" s="9" t="n">
        <f aca="false">SUM(D28:D33)</f>
        <v>19</v>
      </c>
      <c r="E34" s="9" t="n">
        <f aca="false">SUM(E28:E33)</f>
        <v>14</v>
      </c>
      <c r="F34" s="9" t="n">
        <f aca="false">SUM(F28:F33)</f>
        <v>7</v>
      </c>
      <c r="G34" s="9" t="n">
        <f aca="false">SUM(G28:G33)</f>
        <v>66</v>
      </c>
      <c r="H34" s="9" t="n">
        <f aca="false">SUM(H28:H33)</f>
        <v>150</v>
      </c>
    </row>
    <row r="37" customFormat="false" ht="15" hidden="false" customHeight="false" outlineLevel="0" collapsed="false">
      <c r="A3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3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1" t="s">
        <v>15</v>
      </c>
    </row>
    <row r="3" customFormat="false" ht="15" hidden="false" customHeight="false" outlineLevel="0" collapsed="false">
      <c r="A3" s="4" t="s">
        <v>16</v>
      </c>
      <c r="B3" s="4" t="s">
        <v>2</v>
      </c>
      <c r="C3" s="4" t="s">
        <v>12</v>
      </c>
      <c r="D3" s="4" t="s">
        <v>13</v>
      </c>
      <c r="E3" s="4" t="s">
        <v>17</v>
      </c>
    </row>
    <row r="4" customFormat="false" ht="15" hidden="false" customHeight="false" outlineLevel="0" collapsed="false">
      <c r="A4" s="5" t="s">
        <v>18</v>
      </c>
      <c r="B4" s="10" t="n">
        <f aca="false">SUM('Confusion Matrices'!B6:G11)</f>
        <v>150</v>
      </c>
      <c r="C4" s="10" t="n">
        <f aca="false">SUM('Confusion Matrices'!B17:G22)</f>
        <v>150</v>
      </c>
      <c r="D4" s="10" t="n">
        <f aca="false">SUM('Confusion Matrices'!B28:G33)</f>
        <v>150</v>
      </c>
      <c r="E4" s="11" t="s">
        <v>19</v>
      </c>
    </row>
    <row r="5" customFormat="false" ht="15" hidden="false" customHeight="false" outlineLevel="0" collapsed="false">
      <c r="A5" s="5" t="s">
        <v>20</v>
      </c>
      <c r="B5" s="10" t="n">
        <f aca="false">'Confusion Matrices'!B6+'Confusion Matrices'!C7+'Confusion Matrices'!D8+'Confusion Matrices'!E9+'Confusion Matrices'!F10+'Confusion Matrices'!G11</f>
        <v>74</v>
      </c>
      <c r="C5" s="10" t="n">
        <f aca="false">'Confusion Matrices'!B17+'Confusion Matrices'!C18+'Confusion Matrices'!D19+'Confusion Matrices'!E20+'Confusion Matrices'!F21+'Confusion Matrices'!G22</f>
        <v>88</v>
      </c>
      <c r="D5" s="10" t="n">
        <f aca="false">'Confusion Matrices'!B28+'Confusion Matrices'!C29+'Confusion Matrices'!D30+'Confusion Matrices'!E31+'Confusion Matrices'!F32+'Confusion Matrices'!G33</f>
        <v>76</v>
      </c>
      <c r="E5" s="11" t="s">
        <v>21</v>
      </c>
    </row>
    <row r="6" customFormat="false" ht="15" hidden="false" customHeight="false" outlineLevel="0" collapsed="false">
      <c r="A6" s="5" t="s">
        <v>22</v>
      </c>
      <c r="B6" s="12" t="n">
        <f aca="false">B5/B4</f>
        <v>0.493333333333333</v>
      </c>
      <c r="C6" s="12" t="n">
        <f aca="false">C5/C4</f>
        <v>0.586666666666667</v>
      </c>
      <c r="D6" s="12" t="n">
        <f aca="false">D5/D4</f>
        <v>0.506666666666667</v>
      </c>
      <c r="E6" s="11" t="s">
        <v>23</v>
      </c>
    </row>
    <row r="7" customFormat="false" ht="15" hidden="false" customHeight="false" outlineLevel="0" collapsed="false">
      <c r="A7" s="5" t="s">
        <v>24</v>
      </c>
      <c r="B7" s="10" t="n">
        <f aca="false">SUM('Confusion Matrices'!G6:G10)</f>
        <v>29</v>
      </c>
      <c r="C7" s="10" t="n">
        <f aca="false">SUM('Confusion Matrices'!G17:G21)</f>
        <v>30</v>
      </c>
      <c r="D7" s="10" t="n">
        <f aca="false">SUM('Confusion Matrices'!G28:G32)</f>
        <v>38</v>
      </c>
      <c r="E7" s="11" t="s">
        <v>25</v>
      </c>
    </row>
    <row r="8" customFormat="false" ht="15" hidden="false" customHeight="false" outlineLevel="0" collapsed="false">
      <c r="A8" s="5" t="s">
        <v>26</v>
      </c>
      <c r="B8" s="10" t="n">
        <f aca="false">SUM('Confusion Matrices'!B11:F11)</f>
        <v>6</v>
      </c>
      <c r="C8" s="10" t="n">
        <f aca="false">SUM('Confusion Matrices'!B22:F22)</f>
        <v>6</v>
      </c>
      <c r="D8" s="10" t="n">
        <f aca="false">SUM('Confusion Matrices'!B33:F33)</f>
        <v>5</v>
      </c>
      <c r="E8" s="11" t="s">
        <v>27</v>
      </c>
    </row>
    <row r="9" customFormat="false" ht="15" hidden="false" customHeight="false" outlineLevel="0" collapsed="false">
      <c r="A9" s="5" t="s">
        <v>28</v>
      </c>
      <c r="B9" s="10" t="n">
        <f aca="false">'Confusion Matrices'!G11</f>
        <v>27</v>
      </c>
      <c r="C9" s="10" t="n">
        <f aca="false">'Confusion Matrices'!G22</f>
        <v>27</v>
      </c>
      <c r="D9" s="10" t="n">
        <f aca="false">'Confusion Matrices'!G33</f>
        <v>28</v>
      </c>
      <c r="E9" s="11" t="s">
        <v>29</v>
      </c>
    </row>
    <row r="10" customFormat="false" ht="15" hidden="false" customHeight="false" outlineLevel="0" collapsed="false">
      <c r="A10" s="5" t="s">
        <v>30</v>
      </c>
      <c r="B10" s="13" t="n">
        <f aca="false">B4-B7-B8-B9</f>
        <v>88</v>
      </c>
      <c r="C10" s="13" t="n">
        <f aca="false">C4-C7-C8-C9</f>
        <v>87</v>
      </c>
      <c r="D10" s="13" t="n">
        <f aca="false">D4-D7-D8-D9</f>
        <v>79</v>
      </c>
      <c r="E10" s="11" t="s">
        <v>31</v>
      </c>
    </row>
    <row r="11" customFormat="false" ht="15" hidden="false" customHeight="false" outlineLevel="0" collapsed="false">
      <c r="A11" s="5" t="s">
        <v>32</v>
      </c>
      <c r="B11" s="12" t="n">
        <f aca="false">IFERROR((B5-B9)/B10,0)</f>
        <v>0.534090909090909</v>
      </c>
      <c r="C11" s="12" t="n">
        <f aca="false">IFERROR((C5-C9)/C10,0)</f>
        <v>0.701149425287356</v>
      </c>
      <c r="D11" s="12" t="n">
        <f aca="false">IFERROR((D5-D9)/D10,0)</f>
        <v>0.607594936708861</v>
      </c>
      <c r="E11" s="11" t="s">
        <v>33</v>
      </c>
    </row>
    <row r="12" customFormat="false" ht="15" hidden="false" customHeight="false" outlineLevel="0" collapsed="false">
      <c r="A12" s="5" t="s">
        <v>34</v>
      </c>
      <c r="B12" s="13" t="n">
        <f aca="false">B4-B5</f>
        <v>76</v>
      </c>
      <c r="C12" s="13" t="n">
        <f aca="false">C4-C5</f>
        <v>62</v>
      </c>
      <c r="D12" s="13" t="n">
        <f aca="false">D4-D5</f>
        <v>74</v>
      </c>
      <c r="E12" s="11" t="s">
        <v>35</v>
      </c>
    </row>
    <row r="13" customFormat="false" ht="15" hidden="false" customHeight="false" outlineLevel="0" collapsed="false">
      <c r="A13" s="5" t="s">
        <v>36</v>
      </c>
      <c r="B13" s="12" t="n">
        <f aca="false">IFERROR(B7/B12,0)</f>
        <v>0.381578947368421</v>
      </c>
      <c r="C13" s="12" t="n">
        <f aca="false">IFERROR(C7/C12,0)</f>
        <v>0.483870967741936</v>
      </c>
      <c r="D13" s="12" t="n">
        <f aca="false">IFERROR(D7/D12,0)</f>
        <v>0.513513513513514</v>
      </c>
      <c r="E13" s="11" t="s">
        <v>37</v>
      </c>
    </row>
    <row r="14" customFormat="false" ht="15" hidden="false" customHeight="false" outlineLevel="0" collapsed="false">
      <c r="A14" s="5" t="s">
        <v>38</v>
      </c>
      <c r="B14" s="10" t="n">
        <f aca="false">SUM('Confusion Matrices'!B7,'Confusion Matrices'!B8:C8,'Confusion Matrices'!B9:D9,'Confusion Matrices'!B10:E10)</f>
        <v>27</v>
      </c>
      <c r="C14" s="10" t="n">
        <f aca="false">SUM('Confusion Matrices'!B18,'Confusion Matrices'!B19:C19,'Confusion Matrices'!B20:D20,'Confusion Matrices'!B21:E21)</f>
        <v>19</v>
      </c>
      <c r="D14" s="10" t="n">
        <f aca="false">SUM('Confusion Matrices'!B29,'Confusion Matrices'!B30:C30,'Confusion Matrices'!B31:D31,'Confusion Matrices'!B32:E32)</f>
        <v>17</v>
      </c>
      <c r="E14" s="11" t="s">
        <v>39</v>
      </c>
    </row>
    <row r="15" customFormat="false" ht="15" hidden="false" customHeight="false" outlineLevel="0" collapsed="false">
      <c r="A15" s="5" t="s">
        <v>40</v>
      </c>
      <c r="B15" s="10" t="n">
        <f aca="false">SUM('Confusion Matrices'!C6:F6,'Confusion Matrices'!D7:F7,'Confusion Matrices'!E8:F8,'Confusion Matrices'!F9)</f>
        <v>14</v>
      </c>
      <c r="C15" s="10" t="n">
        <f aca="false">SUM('Confusion Matrices'!C17:F17,'Confusion Matrices'!D18:F18,'Confusion Matrices'!E19:F19,'Confusion Matrices'!F20)</f>
        <v>7</v>
      </c>
      <c r="D15" s="10" t="n">
        <f aca="false">SUM('Confusion Matrices'!C28:F28,'Confusion Matrices'!D29:F29,'Confusion Matrices'!E30:F30,'Confusion Matrices'!F31)</f>
        <v>14</v>
      </c>
      <c r="E15" s="11" t="s">
        <v>41</v>
      </c>
    </row>
    <row r="16" customFormat="false" ht="15" hidden="false" customHeight="false" outlineLevel="0" collapsed="false">
      <c r="A16" s="5" t="s">
        <v>42</v>
      </c>
      <c r="B16" s="12" t="n">
        <f aca="false">IFERROR(B14/(B14+B15),0)</f>
        <v>0.658536585365854</v>
      </c>
      <c r="C16" s="12" t="n">
        <f aca="false">IFERROR(C14/(C14+C15),0)</f>
        <v>0.730769230769231</v>
      </c>
      <c r="D16" s="12" t="n">
        <f aca="false">IFERROR(D14/(D14+D15),0)</f>
        <v>0.548387096774194</v>
      </c>
      <c r="E16" s="11" t="s">
        <v>43</v>
      </c>
    </row>
    <row r="17" customFormat="false" ht="15" hidden="false" customHeight="false" outlineLevel="0" collapsed="false">
      <c r="A17" s="5" t="s">
        <v>44</v>
      </c>
      <c r="B17" s="10" t="n">
        <f aca="false">'Confusion Matrices'!C6+'Confusion Matrices'!B7+'Confusion Matrices'!D7+'Confusion Matrices'!C8+'Confusion Matrices'!E8+'Confusion Matrices'!D9+'Confusion Matrices'!F9+'Confusion Matrices'!E10</f>
        <v>38</v>
      </c>
      <c r="C17" s="10" t="n">
        <f aca="false">'Confusion Matrices'!C17+'Confusion Matrices'!B18+'Confusion Matrices'!D18+'Confusion Matrices'!C19+'Confusion Matrices'!E19+'Confusion Matrices'!D20+'Confusion Matrices'!F20+'Confusion Matrices'!E21</f>
        <v>26</v>
      </c>
      <c r="D17" s="10" t="n">
        <f aca="false">'Confusion Matrices'!C28+'Confusion Matrices'!B29+'Confusion Matrices'!D29+'Confusion Matrices'!C30+'Confusion Matrices'!E30+'Confusion Matrices'!D31+'Confusion Matrices'!F31+'Confusion Matrices'!E32</f>
        <v>28</v>
      </c>
      <c r="E17" s="11" t="s">
        <v>45</v>
      </c>
    </row>
    <row r="18" customFormat="false" ht="15" hidden="false" customHeight="false" outlineLevel="0" collapsed="false">
      <c r="A18" s="5" t="s">
        <v>46</v>
      </c>
      <c r="B18" s="13" t="n">
        <f aca="false">B14+B15-B17</f>
        <v>3</v>
      </c>
      <c r="C18" s="13" t="n">
        <f aca="false">C14+C15-C17</f>
        <v>0</v>
      </c>
      <c r="D18" s="13" t="n">
        <f aca="false">D14+D15-D17</f>
        <v>3</v>
      </c>
      <c r="E18" s="11" t="s">
        <v>47</v>
      </c>
    </row>
    <row r="19" customFormat="false" ht="15" hidden="false" customHeight="false" outlineLevel="0" collapsed="false">
      <c r="A19" s="5" t="s">
        <v>48</v>
      </c>
      <c r="B19" s="10" t="n">
        <f aca="false">'Confusion Matrices'!B7</f>
        <v>8</v>
      </c>
      <c r="C19" s="10" t="n">
        <f aca="false">'Confusion Matrices'!B18</f>
        <v>9</v>
      </c>
      <c r="D19" s="10" t="n">
        <f aca="false">'Confusion Matrices'!B29</f>
        <v>4</v>
      </c>
      <c r="E19" s="11" t="s">
        <v>49</v>
      </c>
    </row>
    <row r="21" customFormat="false" ht="15" hidden="false" customHeight="false" outlineLevel="0" collapsed="false">
      <c r="A21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2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51</v>
      </c>
    </row>
    <row r="3" customFormat="false" ht="15" hidden="false" customHeight="false" outlineLevel="0" collapsed="false">
      <c r="A3" s="4" t="s">
        <v>52</v>
      </c>
      <c r="B3" s="4" t="s">
        <v>53</v>
      </c>
      <c r="C3" s="4" t="s">
        <v>54</v>
      </c>
    </row>
    <row r="4" customFormat="false" ht="91.5" hidden="false" customHeight="true" outlineLevel="0" collapsed="false">
      <c r="A4" s="14" t="s">
        <v>55</v>
      </c>
      <c r="B4" s="15" t="s">
        <v>56</v>
      </c>
      <c r="C4" s="15" t="s">
        <v>57</v>
      </c>
    </row>
    <row r="5" customFormat="false" ht="91.5" hidden="false" customHeight="true" outlineLevel="0" collapsed="false">
      <c r="A5" s="14" t="s">
        <v>58</v>
      </c>
      <c r="B5" s="15" t="s">
        <v>59</v>
      </c>
      <c r="C5" s="15" t="s">
        <v>60</v>
      </c>
    </row>
    <row r="6" customFormat="false" ht="91.5" hidden="false" customHeight="true" outlineLevel="0" collapsed="false">
      <c r="A6" s="14" t="s">
        <v>61</v>
      </c>
      <c r="B6" s="15" t="s">
        <v>62</v>
      </c>
      <c r="C6" s="15" t="s">
        <v>63</v>
      </c>
    </row>
    <row r="7" customFormat="false" ht="91.5" hidden="false" customHeight="true" outlineLevel="0" collapsed="false">
      <c r="A7" s="14" t="s">
        <v>64</v>
      </c>
      <c r="B7" s="15" t="s">
        <v>65</v>
      </c>
      <c r="C7" s="15" t="s">
        <v>66</v>
      </c>
    </row>
    <row r="8" customFormat="false" ht="91.5" hidden="false" customHeight="true" outlineLevel="0" collapsed="false">
      <c r="A8" s="14" t="s">
        <v>32</v>
      </c>
      <c r="B8" s="15" t="s">
        <v>67</v>
      </c>
      <c r="C8" s="15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2026-10-07T18:08:41Z</dcterms:created>
  <dc:creator>openpyxl</dc:creator>
  <dc:description/>
  <dc:language>en-US</dc:language>
  <cp:lastModifiedBy/>
  <dcterms:modified xsi:type="dcterms:W3CDTF">2026-10-07T18:08:41Z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